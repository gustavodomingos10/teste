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xl/media/image4.png" ContentType="image/png"/>
  <Override PartName="/xl/media/image5.png" ContentType="image/p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ções" sheetId="1" state="visible" r:id="rId3"/>
    <sheet name="Entrada de Dados" sheetId="2" state="visible" r:id="rId4"/>
    <sheet name="Cálculo" sheetId="3" state="visible" r:id="rId5"/>
    <sheet name="Compatibilidade" sheetId="4" state="visible" r:id="rId6"/>
    <sheet name="Materiais" sheetId="5" state="visible" r:id="rId7"/>
    <sheet name="Resumo de Materiais" sheetId="6" state="visible" r:id="rId8"/>
    <sheet name="Memorial Descritivo" sheetId="7" state="visible" r:id="rId9"/>
    <sheet name="Memorial de Cálculo" sheetId="8" state="visible" r:id="rId10"/>
    <sheet name="_aux" sheetId="9" state="hidden" r:id="rId11"/>
  </sheets>
  <definedNames>
    <definedName function="false" hidden="false" localSheetId="2" name="_xlnm.Print_Area" vbProcedure="false">Cálculo!$B$2:$R$95</definedName>
    <definedName function="false" hidden="false" localSheetId="3" name="_xlnm.Print_Area" vbProcedure="false">Compatibilidade!$B$2:$I$46</definedName>
    <definedName function="false" hidden="false" localSheetId="1" name="_xlnm.Print_Area" vbProcedure="false">'Entrada de Dados'!$B$2:$K$48</definedName>
    <definedName function="false" hidden="false" localSheetId="0" name="_xlnm.Print_Area" vbProcedure="false">Instruções!$B$2:$F$60</definedName>
    <definedName function="false" hidden="false" localSheetId="4" name="_xlnm.Print_Area" vbProcedure="false">Materiais!$B$2:$F$32</definedName>
    <definedName function="false" hidden="false" localSheetId="7" name="_xlnm.Print_Area" vbProcedure="false">'Memorial de Cálculo'!$B$2:$H$58</definedName>
    <definedName function="false" hidden="false" localSheetId="6" name="_xlnm.Print_Area" vbProcedure="false">'Memorial Descritivo'!$B$2:$H$56</definedName>
    <definedName function="false" hidden="false" localSheetId="5" name="_xlnm.Print_Area" vbProcedure="false">'Resumo de Materiais'!$B$2:$F$31</definedName>
    <definedName function="false" hidden="false" name="Cenarios" vbProcedure="false">_aux!$A$2:$A$4</definedName>
    <definedName function="false" hidden="false" name="Cobertura" vbProcedure="false">_aux!$C$2:$C$6</definedName>
    <definedName function="false" hidden="false" name="DiamLst" vbProcedure="false">_aux!$K$2:$K$4</definedName>
    <definedName function="false" hidden="false" name="Estrutura" vbProcedure="false">_aux!$D$2:$D$6</definedName>
    <definedName function="false" hidden="false" name="FS_ok" vbProcedure="false">Cálculo!$H$91</definedName>
    <definedName function="false" hidden="false" name="F_ok" vbProcedure="false">Cálculo!$H$90</definedName>
    <definedName function="false" hidden="false" name="MateriaisLst" vbProcedure="false">_aux!$G$2:$G$3</definedName>
    <definedName function="false" hidden="false" name="PerfisLst" vbProcedure="false">_aux!$J$2:$J$7</definedName>
    <definedName function="false" hidden="false" name="POST_ok" vbProcedure="false">Cálculo!$H$93</definedName>
    <definedName function="false" hidden="false" name="SimNao" vbProcedure="false">_aux!$H$2:$H$3</definedName>
    <definedName function="false" hidden="false" name="Solo" vbProcedure="false">_aux!$E$2:$E$6</definedName>
    <definedName function="false" hidden="false" name="TabCabos" vbProcedure="false">_aux!$A$22:$G$27</definedName>
    <definedName function="false" hidden="false" name="TabPerfis" vbProcedure="false">_aux!$A$34:$G$39</definedName>
    <definedName function="false" hidden="false" name="Talabarte" vbProcedure="false">_aux!$I$2:$I$4</definedName>
    <definedName function="false" hidden="false" name="ZLQ_ok" vbProcedure="false">Cálculo!$H$92</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D11" authorId="0">
      <text>
        <r>
          <rPr>
            <sz val="10"/>
            <rFont val="Arial"/>
            <family val="2"/>
          </rPr>
          <t xml:space="preserve">Cobertura (telhado), Estrutura (metálica/concreto) ou Solo/talude. Define a lista de substratos abaixo.</t>
        </r>
      </text>
    </comment>
    <comment ref="D12" authorId="0">
      <text>
        <r>
          <rPr>
            <sz val="10"/>
            <rFont val="Arial"/>
            <family val="2"/>
          </rPr>
          <t xml:space="preserve">Lista dependente do cenário. Veja a aba Compatibilidade para a ancoragem indicada.</t>
        </r>
      </text>
    </comment>
    <comment ref="D13" authorId="0">
      <text>
        <r>
          <rPr>
            <sz val="10"/>
            <rFont val="Arial"/>
            <family val="2"/>
          </rPr>
          <t xml:space="preserve">Norteia a escolha do material (Inox 316 p/ ambientes agressivos).</t>
        </r>
      </text>
    </comment>
    <comment ref="D16" authorId="0">
      <text>
        <r>
          <rPr>
            <sz val="10"/>
            <rFont val="Arial"/>
            <family val="2"/>
          </rPr>
          <t xml:space="preserve">Distância entre dois pontos de ancoragem consecutivos. Vãos menores reduzem tração e flecha.</t>
        </r>
      </text>
    </comment>
    <comment ref="D17" authorId="0">
      <text>
        <r>
          <rPr>
            <sz val="10"/>
            <rFont val="Arial"/>
            <family val="2"/>
          </rPr>
          <t xml:space="preserve">Quantidade de tramos da linha de vida (informativo p/ materiais).</t>
        </r>
      </text>
    </comment>
    <comment ref="D18" authorId="0">
      <text>
        <r>
          <rPr>
            <sz val="10"/>
            <rFont val="Arial"/>
            <family val="2"/>
          </rPr>
          <t xml:space="preserve">Altura do topo do poste (fixação do cabo) acima da base engastada.</t>
        </r>
      </text>
    </comment>
    <comment ref="D19" authorId="0">
      <text>
        <r>
          <rPr>
            <sz val="10"/>
            <rFont val="Arial"/>
            <family val="2"/>
          </rPr>
          <t xml:space="preserve">Altura livre do plano da linha de vida até o piso/obstáculo inferior. A ZLQ calculada deve ser MENOR que este valor.</t>
        </r>
      </text>
    </comment>
    <comment ref="D22" authorId="0">
      <text>
        <r>
          <rPr>
            <sz val="10"/>
            <rFont val="Arial"/>
            <family val="2"/>
          </rPr>
          <t xml:space="preserve">Inox AISI 316 (ambientes agressivos) ou Galvanizado 6x19 (melhor custo-benefício, ambientes abrigados).</t>
        </r>
      </text>
    </comment>
    <comment ref="D23" authorId="0">
      <text>
        <r>
          <rPr>
            <sz val="10"/>
            <rFont val="Arial"/>
            <family val="2"/>
          </rPr>
          <t xml:space="preserve">Bitolas 8, 10 ou 12 mm. As propriedades (E, área, carga de ruptura) são buscadas automaticamente.</t>
        </r>
      </text>
    </comment>
    <comment ref="D24" authorId="0">
      <text>
        <r>
          <rPr>
            <sz val="10"/>
            <rFont val="Arial"/>
            <family val="2"/>
          </rPr>
          <t xml:space="preserve">Tração aplicada no esticador durante a montagem (tipicamente 0,5–1,5 kN).</t>
        </r>
      </text>
    </comment>
    <comment ref="D27" authorId="0">
      <text>
        <r>
          <rPr>
            <sz val="10"/>
            <rFont val="Arial"/>
            <family val="2"/>
          </rPr>
          <t xml:space="preserve">Trabalhadores conectados ao mesmo tramo ao mesmo tempo (NBR 16325). Mais usuários → maior carga.</t>
        </r>
      </text>
    </comment>
    <comment ref="D28" authorId="0">
      <text>
        <r>
          <rPr>
            <sz val="10"/>
            <rFont val="Arial"/>
            <family val="2"/>
          </rPr>
          <t xml:space="preserve">Limitada pelo absorvedor de energia do talabarte. NR-35 item 35.6.7: máximo 6 kN.</t>
        </r>
      </text>
    </comment>
    <comment ref="D29" authorId="0">
      <text>
        <r>
          <rPr>
            <sz val="10"/>
            <rFont val="Arial"/>
            <family val="2"/>
          </rPr>
          <t xml:space="preserve">Componente do SPIQ. O absorvedor pessoal garante Fₜ ≤ 6 kN.</t>
        </r>
      </text>
    </comment>
    <comment ref="D30" authorId="0">
      <text>
        <r>
          <rPr>
            <sz val="10"/>
            <rFont val="Arial"/>
            <family val="2"/>
          </rPr>
          <t xml:space="preserve">Distância de queda antes da atuação do absorvedor. Depende do comprimento do talabarte e do fator de queda.</t>
        </r>
      </text>
    </comment>
    <comment ref="D31" authorId="0">
      <text>
        <r>
          <rPr>
            <sz val="10"/>
            <rFont val="Arial"/>
            <family val="2"/>
          </rPr>
          <t xml:space="preserve">Curso de abertura do absorvedor pessoal (catálogo do fabricante; tipicamente até 1,75 m).</t>
        </r>
      </text>
    </comment>
    <comment ref="D34" authorId="0">
      <text>
        <r>
          <rPr>
            <sz val="10"/>
            <rFont val="Arial"/>
            <family val="2"/>
          </rPr>
          <t xml:space="preserve">Dispositivo no terminal da linha que LIMITA a tração máxima, reduzindo a carga nos postes/estrutura. Aumenta um pouco a flecha/ZLQ.</t>
        </r>
      </text>
    </comment>
    <comment ref="D35" authorId="0">
      <text>
        <r>
          <rPr>
            <sz val="10"/>
            <rFont val="Arial"/>
            <family val="2"/>
          </rPr>
          <t xml:space="preserve">Tração na qual o absorvedor da linha começa a deformar (catálogo). Valor típico 9–15 kN.</t>
        </r>
      </text>
    </comment>
    <comment ref="D36" authorId="0">
      <text>
        <r>
          <rPr>
            <sz val="10"/>
            <rFont val="Arial"/>
            <family val="2"/>
          </rPr>
          <t xml:space="preserve">Deslocamento de abertura do absorvedor da linha (catálogo). Soma-se à flecha.</t>
        </r>
      </text>
    </comment>
    <comment ref="D39" authorId="0">
      <text>
        <r>
          <rPr>
            <sz val="10"/>
            <rFont val="Arial"/>
            <family val="2"/>
          </rPr>
          <t xml:space="preserve">Seção tubular quadrada (SHS). As propriedades W, Z, área e fy são buscadas automaticamente. Ajuste até a utilização ficar ≤ 1,0.</t>
        </r>
      </text>
    </comment>
    <comment ref="D40" authorId="0">
      <text>
        <r>
          <rPr>
            <sz val="10"/>
            <rFont val="Arial"/>
            <family val="2"/>
          </rPr>
          <t xml:space="preserve">NBR 8800 — combinação última. Ação dinâmica de retenção de queda (variável).</t>
        </r>
      </text>
    </comment>
    <comment ref="D41" authorId="0">
      <text>
        <r>
          <rPr>
            <sz val="10"/>
            <rFont val="Arial"/>
            <family val="2"/>
          </rPr>
          <t xml:space="preserve">Parafusos de ancoragem da placa de base à estrutura/fundação.</t>
        </r>
      </text>
    </comment>
    <comment ref="D42" authorId="0">
      <text>
        <r>
          <rPr>
            <sz val="10"/>
            <rFont val="Arial"/>
            <family val="2"/>
          </rPr>
          <t xml:space="preserve">Distância entre linhas de chumbadores tracionados e comprimidos (≈ lado da placa menos folgas).</t>
        </r>
      </text>
    </comment>
  </commentList>
</comments>
</file>

<file path=xl/sharedStrings.xml><?xml version="1.0" encoding="utf-8"?>
<sst xmlns="http://schemas.openxmlformats.org/spreadsheetml/2006/main" count="656" uniqueCount="428">
  <si>
    <t xml:space="preserve">FERRAMENTA DE DIMENSIONAMENTO</t>
  </si>
  <si>
    <t xml:space="preserve">LINHA DE VIDA HORIZONTAL  ·  Sistema de Proteção Individual Contra Quedas (SPIQ)</t>
  </si>
  <si>
    <t xml:space="preserve">Conforme NR-35 · NR-18 · ABNT NBR 16325-1/2 · ABNT NBR 8800</t>
  </si>
  <si>
    <t xml:space="preserve">GD ENGENHARIA E PERÍCIA LTDA</t>
  </si>
  <si>
    <t xml:space="preserve">Cálculo Estrutural · Avaliação de Imóveis · Perícia  —  CNPJ 54.705.748/0001-19</t>
  </si>
  <si>
    <t xml:space="preserve">Eng. Civil Gustavo Francisco Floriano Domingos  ·  CREA 140.964-D/PR  ·  (43) 9 9925-9577</t>
  </si>
  <si>
    <t xml:space="preserve">COMO USAR ESTA FERRAMENTA</t>
  </si>
  <si>
    <t xml:space="preserve">1.  Vá à aba «Entrada de Dados» e preencha as células AZUIS (sobre fundo amarelo). Use as listas suspensas — elas evitam erros.</t>
  </si>
  <si>
    <t xml:space="preserve">2.  Escolha o CENÁRIO (cobertura, estrutura ou solo); a lista de substratos se ajusta automaticamente.</t>
  </si>
  <si>
    <t xml:space="preserve">3.  Consulte a aba «Compatibilidade» para confirmar o tipo de ancoragem adequado ao seu substrato.</t>
  </si>
  <si>
    <t xml:space="preserve">4.  Veja os resultados na aba «Cálculo»: tração, flecha, ZLQ, verificação do cabo e dimensionamento do poste — tudo automático.</t>
  </si>
  <si>
    <t xml:space="preserve">5.  Ajuste o vão, a bitola do cabo, o absorvedor ou o perfil do poste até que o VEREDITO fique «APROVADO» (verde).</t>
  </si>
  <si>
    <t xml:space="preserve">6.  As abas «Materiais» e «Resumo de Materiais» trazem a especificação e o quantitativo para aquisição (materiais + EPI).</t>
  </si>
  <si>
    <t xml:space="preserve">O QUE CADA ABA CONTÉM</t>
  </si>
  <si>
    <t xml:space="preserve">Entrada de Dados</t>
  </si>
  <si>
    <t xml:space="preserve">Todos os dados do projeto (geometria, cabo, usuários, absorvedores, poste).</t>
  </si>
  <si>
    <t xml:space="preserve">Cálculo</t>
  </si>
  <si>
    <t xml:space="preserve">Memória de cálculo automática com todas as verificações normativas e o veredito.</t>
  </si>
  <si>
    <t xml:space="preserve">Compatibilidade</t>
  </si>
  <si>
    <t xml:space="preserve">Matriz substrato × ancoragem com as restrições normativas.</t>
  </si>
  <si>
    <t xml:space="preserve">Materiais</t>
  </si>
  <si>
    <t xml:space="preserve">Especificação técnica — opções Inox AISI 316 e Galvanizado.</t>
  </si>
  <si>
    <t xml:space="preserve">Resumo de Materiais</t>
  </si>
  <si>
    <t xml:space="preserve">Lista de materiais e de EPI (quantitativo) para compra.</t>
  </si>
  <si>
    <t xml:space="preserve">LEGENDA DE CORES</t>
  </si>
  <si>
    <t xml:space="preserve">   Células AZUIS sobre fundo amarelo  =  entrada do usuário</t>
  </si>
  <si>
    <t xml:space="preserve">   Texto VERDE  =  valor vinculado de outra aba (não editar)</t>
  </si>
  <si>
    <t xml:space="preserve">   Texto PRETO  =  resultado calculado automaticamente</t>
  </si>
  <si>
    <t xml:space="preserve">   Fundo VERDE = verificação APROVADA   ·   Fundo VERMELHO = REPROVADA</t>
  </si>
  <si>
    <t xml:space="preserve">REFERÊNCIAS NORMATIVAS</t>
  </si>
  <si>
    <t xml:space="preserve">NR-35 — Trabalho em Altura. Item 35.6.7: força de impacto transmitida ao trabalhador ≤ 6 kN. Anexo I item 3.1.1: a estrutura de ancoragem deve resistir à força máxima aplicável.</t>
  </si>
  <si>
    <t xml:space="preserve">NR-18 — Segurança e Saúde no Trabalho na Indústria da Construção. Item 18.12.12.2: dispositivos de ancoragem ≥ 1.500 kgf (15 kN). Anexo II: cabos de aço (CR ≥ 5× a carga de trabalho) e de fibra sintética (CR ≥ 22 kN).</t>
  </si>
  <si>
    <t xml:space="preserve">ABNT NBR 16325-1/2 — Dispositivos de ancoragem para proteção contra quedas. Anexo C (Parte 2): cálculo da Zona Livre de Queda (ZLQ).</t>
  </si>
  <si>
    <t xml:space="preserve">ABNT NBR 8800 — Projeto de estruturas de aço e mistas de edifícios. Dimensionamento dos postes de ancoragem (γa1 = 1,10).</t>
  </si>
  <si>
    <t xml:space="preserve">RESPONSABILIDADE TÉCNICA</t>
  </si>
  <si>
    <t xml:space="preserve">Esta ferramenta auxilia o dimensionamento e NÃO substitui o julgamento do profissional legalmente habilitado. Os resultados devem ser conferidos, validados em campo e formalizados em projeto e memorial assinados, com a respectiva ART. A instalação deve ser executada por equipe capacitada e os ensaios de ancoragem realizados conforme NR-35/NBR 16325. © GD Engenharia e Perícia Ltda.</t>
  </si>
  <si>
    <t xml:space="preserve">ENTRADA DE DADOS</t>
  </si>
  <si>
    <t xml:space="preserve">Preencha as células AZUIS. As listas suspensas evitam erros. Os cálculos são automáticos na aba «Cálculo».</t>
  </si>
  <si>
    <t xml:space="preserve">1 ·  IDENTIFICAÇÃO DO PROJETO</t>
  </si>
  <si>
    <t xml:space="preserve">Obra / Cliente</t>
  </si>
  <si>
    <t xml:space="preserve">Cobertura metálica — Maxi Limpeza</t>
  </si>
  <si>
    <t xml:space="preserve">Local</t>
  </si>
  <si>
    <t xml:space="preserve">Av. Alberto Carazzai, 965 — Cornélio Procópio/PR</t>
  </si>
  <si>
    <t xml:space="preserve">Resp. técnico (Eng.)</t>
  </si>
  <si>
    <t xml:space="preserve">Gustavo F. F. Domingos — CREA 140.964-D/PR</t>
  </si>
  <si>
    <t xml:space="preserve">Data</t>
  </si>
  <si>
    <t xml:space="preserve">24/06/2026</t>
  </si>
  <si>
    <t xml:space="preserve">2 ·  CENÁRIO E SUBSTRATO</t>
  </si>
  <si>
    <t xml:space="preserve">Cenário</t>
  </si>
  <si>
    <t xml:space="preserve">Cobertura</t>
  </si>
  <si>
    <t xml:space="preserve">Substrato / cobertura</t>
  </si>
  <si>
    <t xml:space="preserve">Telha trapezoidal metálica</t>
  </si>
  <si>
    <t xml:space="preserve">Ambiente (corrosividade)</t>
  </si>
  <si>
    <t xml:space="preserve">Industrial/Litorâneo (C4-C5)</t>
  </si>
  <si>
    <t xml:space="preserve">3 ·  GEOMETRIA DO SISTEMA</t>
  </si>
  <si>
    <t xml:space="preserve">Vão entre postes  L</t>
  </si>
  <si>
    <t xml:space="preserve">m</t>
  </si>
  <si>
    <t xml:space="preserve">Nº de vãos</t>
  </si>
  <si>
    <t xml:space="preserve">un</t>
  </si>
  <si>
    <t xml:space="preserve">Altura do poste  h</t>
  </si>
  <si>
    <t xml:space="preserve">Pé-direito livre disponível</t>
  </si>
  <si>
    <t xml:space="preserve">4 ·  CABO DA LINHA DE VIDA</t>
  </si>
  <si>
    <t xml:space="preserve">Material do cabo</t>
  </si>
  <si>
    <t xml:space="preserve">Inox AISI 316</t>
  </si>
  <si>
    <t xml:space="preserve">Diâmetro  Ø</t>
  </si>
  <si>
    <t xml:space="preserve">mm</t>
  </si>
  <si>
    <t xml:space="preserve">Pré-tensão de instalação  T₀</t>
  </si>
  <si>
    <t xml:space="preserve">kN</t>
  </si>
  <si>
    <t xml:space="preserve">5 ·  USUÁRIOS E EPI</t>
  </si>
  <si>
    <t xml:space="preserve">Nº de usuários simultâneos  n</t>
  </si>
  <si>
    <t xml:space="preserve">Força de impacto no trabalhador  Fₜ</t>
  </si>
  <si>
    <t xml:space="preserve">Tipo de talabarte</t>
  </si>
  <si>
    <t xml:space="preserve">Talabarte Y c/ absorvedor</t>
  </si>
  <si>
    <t xml:space="preserve">Queda livre  H_ql</t>
  </si>
  <si>
    <t xml:space="preserve">Frenagem do absorvedor  H_fr</t>
  </si>
  <si>
    <t xml:space="preserve">6 ·  ABSORVEDOR DE ENERGIA DA LINHA  (opcional)</t>
  </si>
  <si>
    <t xml:space="preserve">Possui absorvedor de linha?</t>
  </si>
  <si>
    <t xml:space="preserve">Sim</t>
  </si>
  <si>
    <t xml:space="preserve">Força de atuação  F_abs</t>
  </si>
  <si>
    <t xml:space="preserve">Curso do absorvedor de linha</t>
  </si>
  <si>
    <t xml:space="preserve">7 ·  POSTE DE ANCORAGEM  (caso fabricado)</t>
  </si>
  <si>
    <t xml:space="preserve">Perfil do poste</t>
  </si>
  <si>
    <t xml:space="preserve">SHS 100x100x6,3</t>
  </si>
  <si>
    <t xml:space="preserve">Coef. ponderação ações  γf</t>
  </si>
  <si>
    <t xml:space="preserve">—</t>
  </si>
  <si>
    <t xml:space="preserve">Nº de chumbadores</t>
  </si>
  <si>
    <t xml:space="preserve">Braço dos chumbadores  d</t>
  </si>
  <si>
    <t xml:space="preserve">LEGENDA:  células AZUIS sobre fundo amarelo = preenchimento do usuário   •   passe o mouse nos cantos vermelhos para ver as dicas</t>
  </si>
  <si>
    <t xml:space="preserve">MEMÓRIA DE CÁLCULO — LINHA DE VIDA HORIZONTAL</t>
  </si>
  <si>
    <t xml:space="preserve">Cálculo automático conforme NR-35, NR-18 (Anexo II), ABNT NBR 16325-1/2 e ABNT NBR 8800. Valores em VERDE são vínculos da aba Entrada de Dados.</t>
  </si>
  <si>
    <t xml:space="preserve">VEREDITO DO SISTEMA →</t>
  </si>
  <si>
    <t xml:space="preserve">1 ·  DADOS DE ENTRADA  (vínculos)</t>
  </si>
  <si>
    <t xml:space="preserve">L</t>
  </si>
  <si>
    <t xml:space="preserve">Vão entre postes</t>
  </si>
  <si>
    <t xml:space="preserve">Ø</t>
  </si>
  <si>
    <t xml:space="preserve">Diâmetro do cabo</t>
  </si>
  <si>
    <t xml:space="preserve">E</t>
  </si>
  <si>
    <t xml:space="preserve">Módulo de elasticidade do cabo</t>
  </si>
  <si>
    <t xml:space="preserve">MPa</t>
  </si>
  <si>
    <t xml:space="preserve">A</t>
  </si>
  <si>
    <t xml:space="preserve">Área metálica do cabo</t>
  </si>
  <si>
    <t xml:space="preserve">mm²</t>
  </si>
  <si>
    <t xml:space="preserve">F_rup</t>
  </si>
  <si>
    <t xml:space="preserve">Carga de ruptura do cabo (MBL)</t>
  </si>
  <si>
    <t xml:space="preserve">T₀</t>
  </si>
  <si>
    <t xml:space="preserve">Pré-tensão de instalação</t>
  </si>
  <si>
    <t xml:space="preserve">n</t>
  </si>
  <si>
    <t xml:space="preserve">Nº usuários simultâneos</t>
  </si>
  <si>
    <t xml:space="preserve">Fₜ</t>
  </si>
  <si>
    <t xml:space="preserve">Força de impacto no trabalhador</t>
  </si>
  <si>
    <t xml:space="preserve">h</t>
  </si>
  <si>
    <t xml:space="preserve">Altura do poste</t>
  </si>
  <si>
    <t xml:space="preserve">EA</t>
  </si>
  <si>
    <t xml:space="preserve">Rigidez axial do cabo  (E·A)</t>
  </si>
  <si>
    <t xml:space="preserve">a</t>
  </si>
  <si>
    <t xml:space="preserve">Meio-vão  (L/2)</t>
  </si>
  <si>
    <t xml:space="preserve">2 ·  FORÇA NO TRABALHADOR  (NR-35 35.6.7)</t>
  </si>
  <si>
    <t xml:space="preserve">Força de impacto transmitida ao trabalhador</t>
  </si>
  <si>
    <t xml:space="preserve">Q</t>
  </si>
  <si>
    <t xml:space="preserve">Carga aplicada à linha  (n · Fₜ)</t>
  </si>
  <si>
    <t xml:space="preserve">3 ·  FLECHA E TRAÇÃO — equilíbrio + compatibilidade elástica  (Newton-Raphson)</t>
  </si>
  <si>
    <t xml:space="preserve">Resolve  Q = 2·T·senθ   com   T = T₀ + (2EA/L)·(√(a²+f²) − a).  Itera a flecha f até convergir.</t>
  </si>
  <si>
    <t xml:space="preserve">i</t>
  </si>
  <si>
    <t xml:space="preserve">f_i (m)</t>
  </si>
  <si>
    <t xml:space="preserve">√(a²+f²)</t>
  </si>
  <si>
    <t xml:space="preserve">g(f_i)</t>
  </si>
  <si>
    <t xml:space="preserve">g'(f_i)</t>
  </si>
  <si>
    <t xml:space="preserve">f_(i+1) (m)</t>
  </si>
  <si>
    <t xml:space="preserve">f_el</t>
  </si>
  <si>
    <t xml:space="preserve">Flecha elástica convergida</t>
  </si>
  <si>
    <t xml:space="preserve">T_el</t>
  </si>
  <si>
    <t xml:space="preserve">Tração elástica  Q·√(a²+f²)/(2f)</t>
  </si>
  <si>
    <t xml:space="preserve">abs?</t>
  </si>
  <si>
    <t xml:space="preserve">Absorvedor de linha ativo?</t>
  </si>
  <si>
    <t xml:space="preserve">T</t>
  </si>
  <si>
    <t xml:space="preserve">TRAÇÃO MÁXIMA NA LINHA</t>
  </si>
  <si>
    <t xml:space="preserve">senθ</t>
  </si>
  <si>
    <t xml:space="preserve">Seno do ângulo no apoio</t>
  </si>
  <si>
    <t xml:space="preserve">θ</t>
  </si>
  <si>
    <t xml:space="preserve">Ângulo da linha com a horizontal</t>
  </si>
  <si>
    <t xml:space="preserve">graus</t>
  </si>
  <si>
    <t xml:space="preserve">f_g</t>
  </si>
  <si>
    <t xml:space="preserve">Flecha sob carga  (a·tanθ)</t>
  </si>
  <si>
    <t xml:space="preserve">Δabs</t>
  </si>
  <si>
    <t xml:space="preserve">Curso do absorvedor de linha (se ativo)</t>
  </si>
  <si>
    <t xml:space="preserve">f_tot</t>
  </si>
  <si>
    <t xml:space="preserve">FLECHA TOTAL  (f_g + Δabs)</t>
  </si>
  <si>
    <t xml:space="preserve">4 ·  ZONA LIVRE DE QUEDA — ZLQ  (NBR 16325-2 Anexo C)</t>
  </si>
  <si>
    <t xml:space="preserve">H_ql</t>
  </si>
  <si>
    <t xml:space="preserve">Queda livre</t>
  </si>
  <si>
    <t xml:space="preserve">H_fr</t>
  </si>
  <si>
    <t xml:space="preserve">Frenagem do absorvedor pessoal</t>
  </si>
  <si>
    <t xml:space="preserve">Engate aos pés (norma)</t>
  </si>
  <si>
    <t xml:space="preserve">Distância de segurança (norma)</t>
  </si>
  <si>
    <t xml:space="preserve">Flecha total da linha</t>
  </si>
  <si>
    <t xml:space="preserve">ZLQ</t>
  </si>
  <si>
    <t xml:space="preserve">ZONA LIVRE DE QUEDA</t>
  </si>
  <si>
    <t xml:space="preserve">5 ·  VERIFICAÇÃO DO CABO  (NR-18 Anexo II / NBR 16325)</t>
  </si>
  <si>
    <t xml:space="preserve">FS_din</t>
  </si>
  <si>
    <t xml:space="preserve">Fator de segurança dinâmico  (F_rup / T)</t>
  </si>
  <si>
    <t xml:space="preserve">FS_trab</t>
  </si>
  <si>
    <t xml:space="preserve">FS em serviço  (F_rup / T₀)</t>
  </si>
  <si>
    <t xml:space="preserve">6 ·  REAÇÕES NOS APOIOS / POSTES</t>
  </si>
  <si>
    <t xml:space="preserve">H</t>
  </si>
  <si>
    <t xml:space="preserve">Reação horizontal no topo  (T·cosθ)</t>
  </si>
  <si>
    <t xml:space="preserve">V</t>
  </si>
  <si>
    <t xml:space="preserve">Reação vertical no topo  (T·senθ)</t>
  </si>
  <si>
    <t xml:space="preserve">Pp</t>
  </si>
  <si>
    <t xml:space="preserve">Peso próprio do poste</t>
  </si>
  <si>
    <t xml:space="preserve">M_k</t>
  </si>
  <si>
    <t xml:space="preserve">Momento na base  (H·h)</t>
  </si>
  <si>
    <t xml:space="preserve">kN·m</t>
  </si>
  <si>
    <t xml:space="preserve">N_k</t>
  </si>
  <si>
    <t xml:space="preserve">Força axial  (V + peso próprio)</t>
  </si>
  <si>
    <t xml:space="preserve">7 ·  DIMENSIONAMENTO DO POSTE  (NBR 8800 — seção tubular)</t>
  </si>
  <si>
    <t xml:space="preserve">Perfil adotado</t>
  </si>
  <si>
    <t xml:space="preserve">W</t>
  </si>
  <si>
    <t xml:space="preserve">Módulo resistente elástico</t>
  </si>
  <si>
    <t xml:space="preserve">cm³</t>
  </si>
  <si>
    <t xml:space="preserve">Z</t>
  </si>
  <si>
    <t xml:space="preserve">Módulo resistente plástico</t>
  </si>
  <si>
    <t xml:space="preserve">Área da seção</t>
  </si>
  <si>
    <t xml:space="preserve">cm²</t>
  </si>
  <si>
    <t xml:space="preserve">fy</t>
  </si>
  <si>
    <t xml:space="preserve">Tensão de escoamento do aço</t>
  </si>
  <si>
    <t xml:space="preserve">γf</t>
  </si>
  <si>
    <t xml:space="preserve">Coef. ponderação das ações</t>
  </si>
  <si>
    <t xml:space="preserve">γa1</t>
  </si>
  <si>
    <t xml:space="preserve">Coef. ponderação da resistência</t>
  </si>
  <si>
    <t xml:space="preserve">M_Sd</t>
  </si>
  <si>
    <t xml:space="preserve">Momento solicitante de cálculo  (γf·M_k)</t>
  </si>
  <si>
    <t xml:space="preserve">N_Sd</t>
  </si>
  <si>
    <t xml:space="preserve">Força axial de cálculo  (γf·N_k)</t>
  </si>
  <si>
    <t xml:space="preserve">M_Rd</t>
  </si>
  <si>
    <t xml:space="preserve">Momento resistente  (Z·fy/γa1)</t>
  </si>
  <si>
    <t xml:space="preserve">N_Rd</t>
  </si>
  <si>
    <t xml:space="preserve">Força axial resistente  (A·fy/γa1)</t>
  </si>
  <si>
    <t xml:space="preserve">util</t>
  </si>
  <si>
    <t xml:space="preserve">UTILIZAÇÃO — interação flexo-compressão</t>
  </si>
  <si>
    <t xml:space="preserve">FS</t>
  </si>
  <si>
    <t xml:space="preserve">Folga à flexão  (M_Rd / M_Sd)</t>
  </si>
  <si>
    <t xml:space="preserve">Obs.: seção tubular compacta, sem flambagem lateral com torção. Para postes esbeltos (λ&gt;120) aplicar redução à compressão; aqui o esforço axial é pequeno frente ao de flexão.</t>
  </si>
  <si>
    <t xml:space="preserve">8 ·  PLACA DE BASE E CHUMBADORES</t>
  </si>
  <si>
    <t xml:space="preserve">n_ch</t>
  </si>
  <si>
    <t xml:space="preserve">d</t>
  </si>
  <si>
    <t xml:space="preserve">Braço de alavanca dos chumbadores</t>
  </si>
  <si>
    <t xml:space="preserve">T_ch</t>
  </si>
  <si>
    <t xml:space="preserve">Tração de cálculo por chumbador  M_Sd/((n/2)·d)</t>
  </si>
  <si>
    <t xml:space="preserve">R_anc</t>
  </si>
  <si>
    <t xml:space="preserve">Resistência mínima do dispositivo de ancoragem</t>
  </si>
  <si>
    <t xml:space="preserve">Verificar a resistência ao arrancamento dos chumbadores no concreto/aço (catálogo do fabricante) ≥ T_ch, e a espessura da placa à flexão. O ponto de ancoragem deve resistir a no mínimo 15 kN (NR-18) e à tração T da linha.</t>
  </si>
  <si>
    <t xml:space="preserve">INDICADORES DE VERIFICAÇÃO  (base do veredito)</t>
  </si>
  <si>
    <t xml:space="preserve">●</t>
  </si>
  <si>
    <t xml:space="preserve">Força no trabalhador ≤ 6 kN  (NR-35)</t>
  </si>
  <si>
    <t xml:space="preserve">FS dinâmico do cabo ≥ 2</t>
  </si>
  <si>
    <t xml:space="preserve">ZLQ ≤ pé-direito livre disponível</t>
  </si>
  <si>
    <t xml:space="preserve">Utilização do poste ≤ 1,0  (NBR 8800)</t>
  </si>
  <si>
    <t xml:space="preserve">COMPATIBILIDADE  SUBSTRATO × ANCORAGEM</t>
  </si>
  <si>
    <t xml:space="preserve">Matriz de seleção do tipo de ancoragem conforme a cobertura/estrutura a proteger. Consulte sempre as notas normativas ao final.</t>
  </si>
  <si>
    <t xml:space="preserve">SUBSTRATO  ▼   /   ANCORAGEM  ▶</t>
  </si>
  <si>
    <t xml:space="preserve">Suporte
parafusado
à terça/estr.</t>
  </si>
  <si>
    <t xml:space="preserve">Chapa/olhal
SOLDADO
(aço)</t>
  </si>
  <si>
    <t xml:space="preserve">Grampo /
braçadeira
(clamp)</t>
  </si>
  <si>
    <t xml:space="preserve">Chumbador
QUÍMICO
(concreto)</t>
  </si>
  <si>
    <t xml:space="preserve">Chumbador
mecânico
(concreto)</t>
  </si>
  <si>
    <t xml:space="preserve">Bloco de
fundação
(concreto)</t>
  </si>
  <si>
    <t xml:space="preserve">Poste
cravado /
estaiado</t>
  </si>
  <si>
    <t xml:space="preserve">✔</t>
  </si>
  <si>
    <t xml:space="preserve">⚠</t>
  </si>
  <si>
    <t xml:space="preserve">–</t>
  </si>
  <si>
    <t xml:space="preserve">Telha fibrocimento (frágil)</t>
  </si>
  <si>
    <t xml:space="preserve">✔*</t>
  </si>
  <si>
    <t xml:space="preserve">Telha cerâmica (frágil)</t>
  </si>
  <si>
    <t xml:space="preserve">Telha termoacústica (sanduíche)</t>
  </si>
  <si>
    <t xml:space="preserve">Laje de concreto</t>
  </si>
  <si>
    <t xml:space="preserve">Viga metálica (perfil I/H)</t>
  </si>
  <si>
    <t xml:space="preserve">Viga metálica (tubular)</t>
  </si>
  <si>
    <t xml:space="preserve">Pilar de concreto</t>
  </si>
  <si>
    <t xml:space="preserve">Terça metálica</t>
  </si>
  <si>
    <t xml:space="preserve">Solo coesivo</t>
  </si>
  <si>
    <t xml:space="preserve">Solo arenoso</t>
  </si>
  <si>
    <t xml:space="preserve">✗</t>
  </si>
  <si>
    <t xml:space="preserve">Rocha</t>
  </si>
  <si>
    <t xml:space="preserve">Talude protegido</t>
  </si>
  <si>
    <t xml:space="preserve">LEGENDA</t>
  </si>
  <si>
    <t xml:space="preserve">Recomendado — solução usual e segura</t>
  </si>
  <si>
    <t xml:space="preserve">Recomendado SOMENTE com reforço sob a telha (a telha não recebe carga)</t>
  </si>
  <si>
    <t xml:space="preserve">Com restrição — exige verificação adicional / detalhe específico</t>
  </si>
  <si>
    <t xml:space="preserve">Não permitido para esse substrato</t>
  </si>
  <si>
    <t xml:space="preserve">Não aplicável</t>
  </si>
  <si>
    <t xml:space="preserve">NOTAS NORMATIVAS</t>
  </si>
  <si>
    <t xml:space="preserve">1) Telhas frágeis (fibrocimento, cerâmica) NÃO podem receber carga concentrada — NR-18 18.7.8.2. A ancoragem deve transpassar a cobertura e fixar-se em estrutura resistente (terça/madeiramento/laje).</t>
  </si>
  <si>
    <t xml:space="preserve">2) Em telha trapezoidal metálica, o suporte é parafusado à TERÇA (estrutura), nunca apenas à telha; usar vedação tipo EPDM nas perfurações e fixar na onda alta.</t>
  </si>
  <si>
    <t xml:space="preserve">3) Concentração de carga em telhado/cobertura só é admitida se autorizada por profissional legalmente habilitado — NR-18 18.7.8.2 alínea (e).</t>
  </si>
  <si>
    <t xml:space="preserve">4) Dispositivos de ancoragem devem resistir a ≥ 15 kN (1500 kgf) — NR-18 18.12.12.2 — e à força máxima aplicável — NR-35 Anexo I item 3.1.1.</t>
  </si>
  <si>
    <t xml:space="preserve">5) Em aço, a chapa/olhal soldado deve ser executado por soldador qualificado, com solda dimensionada; o grampo (clamp) dispensa furação mas exige verificação de escorregamento.</t>
  </si>
  <si>
    <t xml:space="preserve">6) Em concreto, o chumbador químico (epóxi) deve respeitar profundidade e distância de borda do fabricante; verificar arrancamento (cone de concreto).</t>
  </si>
  <si>
    <t xml:space="preserve">7) Em solo/talude, os postes devem ser ancorados em blocos de fundação dimensionados ao tombamento/arrancamento; em solo arenoso evitar postes simplesmente cravados.</t>
  </si>
  <si>
    <t xml:space="preserve">8) Materiais resistentes às intempéries: aço inoxidável (AISI 316) ou equivalente — NR-18 18.12.12.2 (d).</t>
  </si>
  <si>
    <t xml:space="preserve">MATERIAIS — ESPECIFICAÇÃO TÉCNICA</t>
  </si>
  <si>
    <t xml:space="preserve">Duas opções: INOX AISI 316 (ambientes agressivos / litorâneos) e GALVANIZADO (melhor custo-benefício, ambientes abrigados).</t>
  </si>
  <si>
    <t xml:space="preserve">#</t>
  </si>
  <si>
    <t xml:space="preserve">Componente</t>
  </si>
  <si>
    <t xml:space="preserve">Opção 1 — INOX AISI 316</t>
  </si>
  <si>
    <t xml:space="preserve">Opção 2 — GALVANIZADO (custo-benefício)</t>
  </si>
  <si>
    <t xml:space="preserve">Norma / Observação</t>
  </si>
  <si>
    <t xml:space="preserve">Cabo de aço (linha de vida)</t>
  </si>
  <si>
    <t xml:space="preserve">Cabo inox AISI 316, construção 1x19 ou 7x19, Ø 8–12 mm conforme cálculo; CR ≥ 5× carga de trabalho.</t>
  </si>
  <si>
    <t xml:space="preserve">Cabo galvanizado a fogo 6x19 + alma de aço (AF), Ø 8–12 mm; CR ≥ 5× carga de trabalho.</t>
  </si>
  <si>
    <t xml:space="preserve">NR-18 Anexo II itens 3 e 11; NBR 16325.</t>
  </si>
  <si>
    <t xml:space="preserve">Esticador / tensor</t>
  </si>
  <si>
    <t xml:space="preserve">Esticador inox 316 tipo gancho-olhal ou olhal-olhal, c/ contraporca; mesma CR do cabo.</t>
  </si>
  <si>
    <t xml:space="preserve">Esticador aço galvanizado tipo olhal-olhal c/ contraporca.</t>
  </si>
  <si>
    <t xml:space="preserve">Permite aplicar e manter a pré-tensão T₀.</t>
  </si>
  <si>
    <t xml:space="preserve">Absorvedor de energia da linha</t>
  </si>
  <si>
    <t xml:space="preserve">Absorvedor inox/indeformável calibrado (atua ~9–15 kN), reduz a tração transmitida à estrutura.</t>
  </si>
  <si>
    <t xml:space="preserve">Absorvedor galvanizado calibrado (atua ~9–15 kN).</t>
  </si>
  <si>
    <t xml:space="preserve">NBR 16325; limita a carga nos postes.</t>
  </si>
  <si>
    <t xml:space="preserve">Terminações do cabo</t>
  </si>
  <si>
    <t xml:space="preserve">Terminal prensado inox 316 ou laço c/ sapatilho + 3 clipes inox; sapatilho (thimble) inox.</t>
  </si>
  <si>
    <t xml:space="preserve">Terminal prensado galvanizado ou laço c/ sapatilho + clipes galvanizados.</t>
  </si>
  <si>
    <t xml:space="preserve">Fixação que impeça deslizamento — NR-18 Anexo II item 5.</t>
  </si>
  <si>
    <t xml:space="preserve">Conectores / placas intermediárias</t>
  </si>
  <si>
    <t xml:space="preserve">Olhais e placas-guia inox 316 (passagem do cabo nos postes intermediários).</t>
  </si>
  <si>
    <t xml:space="preserve">Olhais e placas-guia aço galvanizado a fogo.</t>
  </si>
  <si>
    <t xml:space="preserve">Permitem deslizamento do trava-quedas.</t>
  </si>
  <si>
    <t xml:space="preserve">Poste de ancoragem</t>
  </si>
  <si>
    <t xml:space="preserve">Perfil tubular SHS em inox 316 OU aço carbono galvanizado a fogo (zincagem ≥ 85 µm), conf. cálculo.</t>
  </si>
  <si>
    <t xml:space="preserve">Perfil tubular SHS em aço carbono (ASTM A572/A36) galvanizado a fogo.</t>
  </si>
  <si>
    <t xml:space="preserve">NBR 8800; dimensionado na aba Cálculo.</t>
  </si>
  <si>
    <t xml:space="preserve">Placa de base + chumbadores</t>
  </si>
  <si>
    <t xml:space="preserve">Placa de aço inox/galv. + chumbadores inox 316 (químico/mecânico) — Ø conforme cálculo.</t>
  </si>
  <si>
    <t xml:space="preserve">Placa aço carbono galvanizada + chumbadores galvanizados/zincados.</t>
  </si>
  <si>
    <t xml:space="preserve">Resistência do dispositivo ≥ 15 kN — NR-18 18.12.12.2.</t>
  </si>
  <si>
    <t xml:space="preserve">Vedação e acessórios</t>
  </si>
  <si>
    <t xml:space="preserve">Arruelas de vedação EPDM, mantas e selantes p/ perfurações em telhado.</t>
  </si>
  <si>
    <t xml:space="preserve">Idem.</t>
  </si>
  <si>
    <t xml:space="preserve">Estanqueidade da cobertura.</t>
  </si>
  <si>
    <t xml:space="preserve">Placa de identificação</t>
  </si>
  <si>
    <t xml:space="preserve">Placa indelével: fabricante, CNPJ, modelo, nº série, material, carga, nº máx. de usuários, pictograma.</t>
  </si>
  <si>
    <t xml:space="preserve">NR-18 18.12.12.3 / NBR 16325.</t>
  </si>
  <si>
    <t xml:space="preserve">COMO ESCOLHER ENTRE INOX 316 E GALVANIZADO</t>
  </si>
  <si>
    <t xml:space="preserve">• INOX AISI 316: indicado para ambientes litorâneos, industriais, com maresia, respingos químicos ou alta umidade (categorias de corrosividade C4–C5). Maior durabilidade e menor manutenção; custo superior.</t>
  </si>
  <si>
    <t xml:space="preserve">• GALVANIZADO a fogo: melhor custo-benefício para ambientes internos/abrigados e atmosferas pouco agressivas (C2–C3). Exige inspeção periódica do revestimento de zinco e retoque em pontos de corte/solda.</t>
  </si>
  <si>
    <t xml:space="preserve">• Não misturar metais dissimilares em contato direto (par galvânico). Usar isoladores/buchas quando necessário.</t>
  </si>
  <si>
    <t xml:space="preserve">• As cargas de ruptura (CR) e as propriedades adotadas estão na aba «_aux» (tabela de cabos) e alimentam automaticamente o Cálculo.</t>
  </si>
  <si>
    <t xml:space="preserve">Referência comercial: linha de produtos Bonier ou equivalente técnico. Códigos e preços devem ser confirmados junto ao fornecedor na data da compra.</t>
  </si>
  <si>
    <t xml:space="preserve">RESUMO DE MATERIAIS E EPI</t>
  </si>
  <si>
    <t xml:space="preserve">Quantitativo para aquisição. As quantidades em VERDE são calculadas a partir da aba Entrada de Dados.</t>
  </si>
  <si>
    <t xml:space="preserve">A · MATERIAIS DO SISTEMA DE ANCORAGEM</t>
  </si>
  <si>
    <t xml:space="preserve">Item</t>
  </si>
  <si>
    <t xml:space="preserve">Descrição</t>
  </si>
  <si>
    <t xml:space="preserve">Qtd.</t>
  </si>
  <si>
    <t xml:space="preserve">Unid.</t>
  </si>
  <si>
    <t xml:space="preserve">Observação</t>
  </si>
  <si>
    <t xml:space="preserve">Poste de ancoragem (perfil tubular conf. Cálculo)</t>
  </si>
  <si>
    <t xml:space="preserve">Extremos + intermediários</t>
  </si>
  <si>
    <t xml:space="preserve">Placa de base + kit de chumbadores</t>
  </si>
  <si>
    <t xml:space="preserve">cj</t>
  </si>
  <si>
    <t xml:space="preserve">1 por poste</t>
  </si>
  <si>
    <t xml:space="preserve">Cabo de aço da linha de vida (Ø conf. Cálculo)</t>
  </si>
  <si>
    <t xml:space="preserve">Vão × nº vãos + 10% de folga</t>
  </si>
  <si>
    <t xml:space="preserve">Esticador / tensor com contraporca</t>
  </si>
  <si>
    <t xml:space="preserve">Aplicação da pré-tensão</t>
  </si>
  <si>
    <t xml:space="preserve">1 por tramo (se adotado)</t>
  </si>
  <si>
    <t xml:space="preserve">Terminação prensada / laço + sapatilho + clipes</t>
  </si>
  <si>
    <t xml:space="preserve">Extremidades de cada tramo</t>
  </si>
  <si>
    <t xml:space="preserve">Placa-guia / olhal intermediário</t>
  </si>
  <si>
    <t xml:space="preserve">Postes intermediários</t>
  </si>
  <si>
    <t xml:space="preserve">Placa de identificação do sistema</t>
  </si>
  <si>
    <t xml:space="preserve">NR-18 18.12.12.3</t>
  </si>
  <si>
    <t xml:space="preserve">Arruelas de vedação EPDM (telhado)</t>
  </si>
  <si>
    <t xml:space="preserve">Estanqueidade das perfurações</t>
  </si>
  <si>
    <t xml:space="preserve">B · EQUIPAMENTOS DE PROTEÇÃO INDIVIDUAL (EPI) — por trabalhador</t>
  </si>
  <si>
    <t xml:space="preserve">Cinturão de segurança tipo paraquedista (fixação dorsal e, se necessário, frontal)</t>
  </si>
  <si>
    <t xml:space="preserve">NR-35 35.6.9 / CA vigente</t>
  </si>
  <si>
    <t xml:space="preserve">Talabarte em Y com absorvedor de energia (garante Fₜ ≤ 6 kN)</t>
  </si>
  <si>
    <t xml:space="preserve">NR-35 35.6.7</t>
  </si>
  <si>
    <t xml:space="preserve">Trava-quedas deslizante guiado, compatível com o cabo da linha de vida</t>
  </si>
  <si>
    <t xml:space="preserve">NR-18 Anexo II item 8</t>
  </si>
  <si>
    <t xml:space="preserve">Capacete de segurança com jugular (fixação em 3 pontos)</t>
  </si>
  <si>
    <t xml:space="preserve">NR-35 / NR-6</t>
  </si>
  <si>
    <t xml:space="preserve">Conectores / mosquetões com dupla trava (rosca ou automática)</t>
  </si>
  <si>
    <t xml:space="preserve">Resistência conforme fabricante</t>
  </si>
  <si>
    <t xml:space="preserve">Calçado de segurança e luvas</t>
  </si>
  <si>
    <t xml:space="preserve">par</t>
  </si>
  <si>
    <t xml:space="preserve">Acessórios de proteção</t>
  </si>
  <si>
    <t xml:space="preserve">Todos os EPI devem possuir Certificado de Aprovação (CA) válido do MTE e ser inspecionados antes do uso (inspeção rotineira) e periodicamente — NR-35 35.6.6.</t>
  </si>
  <si>
    <t xml:space="preserve">_______________________________________</t>
  </si>
  <si>
    <t xml:space="preserve">MEMORIAL DESCRITIVO</t>
  </si>
  <si>
    <t xml:space="preserve">GD Engenharia e Perícia Ltda · CNPJ 54.705.748/0001-19 · Eng. Civil Gustavo F. F. Domingos · CREA 140.964-D/PR</t>
  </si>
  <si>
    <t xml:space="preserve">IDENTIFICAÇÃO</t>
  </si>
  <si>
    <t xml:space="preserve">Responsável Técnico</t>
  </si>
  <si>
    <t xml:space="preserve">1 ·  OBJETO</t>
  </si>
  <si>
    <t xml:space="preserve">2 ·  NORMAS APLICÁVEIS</t>
  </si>
  <si>
    <t xml:space="preserve">3 ·  DESCRIÇÃO DO LOCAL E CENÁRIO</t>
  </si>
  <si>
    <t xml:space="preserve">4 ·  DESCRIÇÃO DO SISTEMA PROPOSTO</t>
  </si>
  <si>
    <t xml:space="preserve">5 ·  MATERIAIS</t>
  </si>
  <si>
    <t xml:space="preserve">6 ·  SEGURANÇA E UTILIZAÇÃO</t>
  </si>
  <si>
    <t xml:space="preserve">Figura — Esquema geral da linha de vida horizontal.</t>
  </si>
  <si>
    <t xml:space="preserve">ASSINATURA</t>
  </si>
  <si>
    <t xml:space="preserve">Engenheiro Civil — Responsável Técnico</t>
  </si>
  <si>
    <t xml:space="preserve">ART nº ____________________  ·  CREA-PR</t>
  </si>
  <si>
    <t xml:space="preserve">MEMORIAL DE CÁLCULO</t>
  </si>
  <si>
    <t xml:space="preserve">1 ·  PREMISSAS E CRITÉRIOS</t>
  </si>
  <si>
    <t xml:space="preserve">2 ·  DADOS ADOTADOS</t>
  </si>
  <si>
    <t xml:space="preserve">3 ·  TRAÇÃO E FLECHA DA LINHA</t>
  </si>
  <si>
    <t xml:space="preserve">4 ·  ZONA LIVRE DE QUEDA (ZLQ)</t>
  </si>
  <si>
    <t xml:space="preserve">5 ·  VERIFICAÇÃO DO CABO</t>
  </si>
  <si>
    <t xml:space="preserve">6 ·  DIMENSIONAMENTO DO POSTE (NBR 8800)</t>
  </si>
  <si>
    <t xml:space="preserve">7 ·  ANCORAGEM</t>
  </si>
  <si>
    <t xml:space="preserve">8 ·  RESULTADOS CONSOLIDADOS</t>
  </si>
  <si>
    <t xml:space="preserve">Grandeza</t>
  </si>
  <si>
    <t xml:space="preserve">Símb.</t>
  </si>
  <si>
    <t xml:space="preserve">Resultado</t>
  </si>
  <si>
    <t xml:space="preserve">Tração máxima na linha</t>
  </si>
  <si>
    <t xml:space="preserve">Flecha total</t>
  </si>
  <si>
    <t xml:space="preserve">f</t>
  </si>
  <si>
    <t xml:space="preserve">Zona Livre de Queda</t>
  </si>
  <si>
    <t xml:space="preserve">FS dinâmico do cabo</t>
  </si>
  <si>
    <t xml:space="preserve">Momento na base do poste</t>
  </si>
  <si>
    <t xml:space="preserve">Utilização do poste</t>
  </si>
  <si>
    <t xml:space="preserve">9 ·  CONCLUSÃO</t>
  </si>
  <si>
    <t xml:space="preserve">Cenarios</t>
  </si>
  <si>
    <t xml:space="preserve">Estrutura</t>
  </si>
  <si>
    <t xml:space="preserve">Solo</t>
  </si>
  <si>
    <t xml:space="preserve">SimNao</t>
  </si>
  <si>
    <t xml:space="preserve">Talabarte</t>
  </si>
  <si>
    <t xml:space="preserve">Perfis</t>
  </si>
  <si>
    <t xml:space="preserve">Diam</t>
  </si>
  <si>
    <t xml:space="preserve">Solo coesivo (bloco concreto)</t>
  </si>
  <si>
    <t xml:space="preserve">SHS 80x80x6,3</t>
  </si>
  <si>
    <t xml:space="preserve">Telha fibrocimento</t>
  </si>
  <si>
    <t xml:space="preserve">Solo arenoso (bloco concreto)</t>
  </si>
  <si>
    <t xml:space="preserve">Custo-benefício (galvanizado)</t>
  </si>
  <si>
    <t xml:space="preserve">Não</t>
  </si>
  <si>
    <t xml:space="preserve">Talabarte simples c/ absorvedor</t>
  </si>
  <si>
    <t xml:space="preserve">Telha cerâmica</t>
  </si>
  <si>
    <t xml:space="preserve">Rocha (chumbador)</t>
  </si>
  <si>
    <t xml:space="preserve">Trava-quedas retrátil</t>
  </si>
  <si>
    <t xml:space="preserve">SHS 100x100x8,0</t>
  </si>
  <si>
    <t xml:space="preserve">SHS 120x120x8,0</t>
  </si>
  <si>
    <t xml:space="preserve">Poste cravado</t>
  </si>
  <si>
    <t xml:space="preserve">SHS 150x150x8,0</t>
  </si>
  <si>
    <t xml:space="preserve">SHS 150x150x10,0</t>
  </si>
  <si>
    <t xml:space="preserve">TabelaCabos</t>
  </si>
  <si>
    <t xml:space="preserve">Chave</t>
  </si>
  <si>
    <t xml:space="preserve">Material</t>
  </si>
  <si>
    <t xml:space="preserve">Ø (mm)</t>
  </si>
  <si>
    <t xml:space="preserve">E (MPa)</t>
  </si>
  <si>
    <t xml:space="preserve">A (mm²)</t>
  </si>
  <si>
    <t xml:space="preserve">MBL (kN)</t>
  </si>
  <si>
    <t xml:space="preserve">massa (kg/m)</t>
  </si>
  <si>
    <t xml:space="preserve">Inox AISI 316|8</t>
  </si>
  <si>
    <t xml:space="preserve">Inox AISI 316|10</t>
  </si>
  <si>
    <t xml:space="preserve">Inox AISI 316|12</t>
  </si>
  <si>
    <t xml:space="preserve">Custo-benefício (galvanizado)|8</t>
  </si>
  <si>
    <t xml:space="preserve">Galvanizado 6x19</t>
  </si>
  <si>
    <t xml:space="preserve">Custo-benefício (galvanizado)|10</t>
  </si>
  <si>
    <t xml:space="preserve">Custo-benefício (galvanizado)|12</t>
  </si>
  <si>
    <t xml:space="preserve">TabelaPerfis</t>
  </si>
  <si>
    <t xml:space="preserve">Perfil</t>
  </si>
  <si>
    <t xml:space="preserve">b (mm)</t>
  </si>
  <si>
    <t xml:space="preserve">t (mm)</t>
  </si>
  <si>
    <t xml:space="preserve">W (cm³)</t>
  </si>
  <si>
    <t xml:space="preserve">Z (cm³)</t>
  </si>
  <si>
    <t xml:space="preserve">A (cm²)</t>
  </si>
  <si>
    <t xml:space="preserve">fy (MPa)</t>
  </si>
</sst>
</file>

<file path=xl/styles.xml><?xml version="1.0" encoding="utf-8"?>
<styleSheet xmlns="http://schemas.openxmlformats.org/spreadsheetml/2006/main">
  <numFmts count="8">
    <numFmt numFmtId="164" formatCode="General"/>
    <numFmt numFmtId="165" formatCode="0.00"/>
    <numFmt numFmtId="166" formatCode="0"/>
    <numFmt numFmtId="167" formatCode="0.0"/>
    <numFmt numFmtId="168" formatCode="#,##0"/>
    <numFmt numFmtId="169" formatCode="0.0000"/>
    <numFmt numFmtId="170" formatCode="0.000"/>
    <numFmt numFmtId="171" formatCode="General"/>
  </numFmts>
  <fonts count="47">
    <font>
      <sz val="11"/>
      <color theme="1"/>
      <name val="Calibri"/>
      <family val="2"/>
      <charset val="1"/>
    </font>
    <font>
      <sz val="10"/>
      <name val="Arial"/>
      <family val="0"/>
    </font>
    <font>
      <sz val="10"/>
      <name val="Arial"/>
      <family val="0"/>
    </font>
    <font>
      <sz val="10"/>
      <name val="Arial"/>
      <family val="0"/>
    </font>
    <font>
      <b val="true"/>
      <sz val="20"/>
      <color rgb="FF122929"/>
      <name val="Arial"/>
      <family val="0"/>
      <charset val="1"/>
    </font>
    <font>
      <b val="true"/>
      <sz val="12"/>
      <color rgb="FF2E5D5A"/>
      <name val="Arial"/>
      <family val="0"/>
      <charset val="1"/>
    </font>
    <font>
      <i val="true"/>
      <sz val="10"/>
      <color rgb="FF5A5A5A"/>
      <name val="Arial"/>
      <family val="0"/>
      <charset val="1"/>
    </font>
    <font>
      <b val="true"/>
      <sz val="13"/>
      <color rgb="FF122929"/>
      <name val="Arial"/>
      <family val="0"/>
      <charset val="1"/>
    </font>
    <font>
      <sz val="9"/>
      <color rgb="FF5A5A5A"/>
      <name val="Arial"/>
      <family val="0"/>
      <charset val="1"/>
    </font>
    <font>
      <b val="true"/>
      <sz val="11"/>
      <color rgb="FFFFFFFF"/>
      <name val="Arial"/>
      <family val="0"/>
      <charset val="1"/>
    </font>
    <font>
      <sz val="9.5"/>
      <color rgb="FF000000"/>
      <name val="Arial"/>
      <family val="0"/>
      <charset val="1"/>
    </font>
    <font>
      <b val="true"/>
      <sz val="9.5"/>
      <color rgb="FF122929"/>
      <name val="Arial"/>
      <family val="0"/>
      <charset val="1"/>
    </font>
    <font>
      <b val="true"/>
      <sz val="9.5"/>
      <color rgb="FF0000FF"/>
      <name val="Arial"/>
      <family val="0"/>
      <charset val="1"/>
    </font>
    <font>
      <b val="true"/>
      <sz val="9.5"/>
      <color rgb="FF008000"/>
      <name val="Arial"/>
      <family val="0"/>
      <charset val="1"/>
    </font>
    <font>
      <b val="true"/>
      <sz val="9.5"/>
      <color rgb="FF000000"/>
      <name val="Arial"/>
      <family val="0"/>
      <charset val="1"/>
    </font>
    <font>
      <b val="true"/>
      <sz val="9.5"/>
      <color rgb="FF2E7D52"/>
      <name val="Arial"/>
      <family val="0"/>
      <charset val="1"/>
    </font>
    <font>
      <sz val="8.5"/>
      <color rgb="FF000000"/>
      <name val="Arial"/>
      <family val="0"/>
      <charset val="1"/>
    </font>
    <font>
      <i val="true"/>
      <sz val="8.5"/>
      <color rgb="FF5A5A5A"/>
      <name val="Arial"/>
      <family val="0"/>
      <charset val="1"/>
    </font>
    <font>
      <b val="true"/>
      <sz val="16"/>
      <color rgb="FFFFFFFF"/>
      <name val="Arial"/>
      <family val="0"/>
      <charset val="1"/>
    </font>
    <font>
      <i val="true"/>
      <sz val="9"/>
      <color rgb="FFFFFFFF"/>
      <name val="Arial"/>
      <family val="0"/>
      <charset val="1"/>
    </font>
    <font>
      <b val="true"/>
      <sz val="10"/>
      <color rgb="FF122929"/>
      <name val="Arial"/>
      <family val="0"/>
      <charset val="1"/>
    </font>
    <font>
      <b val="true"/>
      <sz val="10"/>
      <color rgb="FF0000FF"/>
      <name val="Arial"/>
      <family val="0"/>
      <charset val="1"/>
    </font>
    <font>
      <i val="true"/>
      <sz val="9"/>
      <color rgb="FF5A5A5A"/>
      <name val="Arial"/>
      <family val="0"/>
      <charset val="1"/>
    </font>
    <font>
      <sz val="10"/>
      <name val="Arial"/>
      <family val="2"/>
    </font>
    <font>
      <b val="true"/>
      <sz val="12"/>
      <color rgb="FF122929"/>
      <name val="Arial"/>
      <family val="0"/>
      <charset val="1"/>
    </font>
    <font>
      <b val="true"/>
      <sz val="14"/>
      <color rgb="FFFFFFFF"/>
      <name val="Arial"/>
      <family val="0"/>
      <charset val="1"/>
    </font>
    <font>
      <b val="true"/>
      <sz val="10"/>
      <color rgb="FF2E5D5A"/>
      <name val="Arial"/>
      <family val="0"/>
      <charset val="1"/>
    </font>
    <font>
      <sz val="10"/>
      <color rgb="FF000000"/>
      <name val="Arial"/>
      <family val="0"/>
      <charset val="1"/>
    </font>
    <font>
      <b val="true"/>
      <sz val="10"/>
      <color rgb="FF008000"/>
      <name val="Arial"/>
      <family val="0"/>
      <charset val="1"/>
    </font>
    <font>
      <b val="true"/>
      <sz val="9"/>
      <color rgb="FF000000"/>
      <name val="Arial"/>
      <family val="0"/>
      <charset val="1"/>
    </font>
    <font>
      <b val="true"/>
      <sz val="10"/>
      <color rgb="FF000000"/>
      <name val="Arial"/>
      <family val="0"/>
      <charset val="1"/>
    </font>
    <font>
      <b val="true"/>
      <sz val="9"/>
      <color rgb="FFFFFFFF"/>
      <name val="Arial"/>
      <family val="0"/>
      <charset val="1"/>
    </font>
    <font>
      <sz val="9"/>
      <color rgb="FF000000"/>
      <name val="Arial"/>
      <family val="0"/>
      <charset val="1"/>
    </font>
    <font>
      <i val="true"/>
      <sz val="8"/>
      <color rgb="FF5A5A5A"/>
      <name val="Arial"/>
      <family val="0"/>
      <charset val="1"/>
    </font>
    <font>
      <b val="true"/>
      <sz val="8"/>
      <color rgb="FFFFFFFF"/>
      <name val="Arial"/>
      <family val="0"/>
      <charset val="1"/>
    </font>
    <font>
      <b val="true"/>
      <sz val="9"/>
      <color rgb="FF122929"/>
      <name val="Arial"/>
      <family val="0"/>
      <charset val="1"/>
    </font>
    <font>
      <b val="true"/>
      <sz val="11"/>
      <color rgb="FF2E7D52"/>
      <name val="Arial"/>
      <family val="0"/>
      <charset val="1"/>
    </font>
    <font>
      <b val="true"/>
      <sz val="11"/>
      <color rgb="FFC8922A"/>
      <name val="Arial"/>
      <family val="0"/>
      <charset val="1"/>
    </font>
    <font>
      <b val="true"/>
      <sz val="11"/>
      <color rgb="FF5A5A5A"/>
      <name val="Arial"/>
      <family val="0"/>
      <charset val="1"/>
    </font>
    <font>
      <b val="true"/>
      <sz val="11"/>
      <color rgb="FFB23A3A"/>
      <name val="Arial"/>
      <family val="0"/>
      <charset val="1"/>
    </font>
    <font>
      <b val="true"/>
      <sz val="10"/>
      <color rgb="FFFFFFFF"/>
      <name val="Arial"/>
      <family val="0"/>
      <charset val="1"/>
    </font>
    <font>
      <b val="true"/>
      <sz val="9"/>
      <color rgb="FF2E5D5A"/>
      <name val="Arial"/>
      <family val="0"/>
      <charset val="1"/>
    </font>
    <font>
      <b val="true"/>
      <sz val="15"/>
      <color rgb="FFFFFFFF"/>
      <name val="Arial"/>
      <family val="0"/>
      <charset val="1"/>
    </font>
    <font>
      <b val="true"/>
      <sz val="9"/>
      <color rgb="FF008000"/>
      <name val="Arial"/>
      <family val="0"/>
      <charset val="1"/>
    </font>
    <font>
      <b val="true"/>
      <sz val="17"/>
      <color rgb="FF122929"/>
      <name val="Arial"/>
      <family val="0"/>
      <charset val="1"/>
    </font>
    <font>
      <sz val="9.5"/>
      <color rgb="FF1A6B3C"/>
      <name val="Arial"/>
      <family val="0"/>
      <charset val="1"/>
    </font>
    <font>
      <b val="true"/>
      <i val="true"/>
      <sz val="8"/>
      <color rgb="FF5A5A5A"/>
      <name val="Arial"/>
      <family val="0"/>
      <charset val="1"/>
    </font>
  </fonts>
  <fills count="16">
    <fill>
      <patternFill patternType="none"/>
    </fill>
    <fill>
      <patternFill patternType="gray125"/>
    </fill>
    <fill>
      <patternFill patternType="solid">
        <fgColor rgb="FF2E5D5A"/>
        <bgColor rgb="FF1A6B3C"/>
      </patternFill>
    </fill>
    <fill>
      <patternFill patternType="solid">
        <fgColor rgb="FF4F8C88"/>
        <bgColor rgb="FF2E7D52"/>
      </patternFill>
    </fill>
    <fill>
      <patternFill patternType="solid">
        <fgColor rgb="FFC8922A"/>
        <bgColor rgb="FFFF8080"/>
      </patternFill>
    </fill>
    <fill>
      <patternFill patternType="solid">
        <fgColor rgb="FFE8F0EF"/>
        <bgColor rgb="FFEFF4F8"/>
      </patternFill>
    </fill>
    <fill>
      <patternFill patternType="solid">
        <fgColor rgb="FFFFFFFF"/>
        <bgColor rgb="FFEFF4F8"/>
      </patternFill>
    </fill>
    <fill>
      <patternFill patternType="solid">
        <fgColor rgb="FFB23A3A"/>
        <bgColor rgb="FF993366"/>
      </patternFill>
    </fill>
    <fill>
      <patternFill patternType="solid">
        <fgColor rgb="FFD6E4E2"/>
        <bgColor rgb="FFD8EFE0"/>
      </patternFill>
    </fill>
    <fill>
      <patternFill patternType="solid">
        <fgColor rgb="FF122929"/>
        <bgColor rgb="FF003366"/>
      </patternFill>
    </fill>
    <fill>
      <patternFill patternType="solid">
        <fgColor rgb="FFFFF6D9"/>
        <bgColor rgb="FFFCF3CF"/>
      </patternFill>
    </fill>
    <fill>
      <patternFill patternType="solid">
        <fgColor rgb="FFD8EFE0"/>
        <bgColor rgb="FFD6E4E2"/>
      </patternFill>
    </fill>
    <fill>
      <patternFill patternType="solid">
        <fgColor rgb="FFFCF3CF"/>
        <bgColor rgb="FFFFF6D9"/>
      </patternFill>
    </fill>
    <fill>
      <patternFill patternType="solid">
        <fgColor rgb="FFF4D6D6"/>
        <bgColor rgb="FFD6E4E2"/>
      </patternFill>
    </fill>
    <fill>
      <patternFill patternType="solid">
        <fgColor rgb="FFEFF4F8"/>
        <bgColor rgb="FFE8F0EF"/>
      </patternFill>
    </fill>
    <fill>
      <patternFill patternType="solid">
        <fgColor rgb="FFF6F1E6"/>
        <bgColor rgb="FFEFF4F8"/>
      </patternFill>
    </fill>
  </fills>
  <borders count="4">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bottom style="medium">
        <color rgb="FF122929"/>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true" applyProtection="false">
      <alignment horizontal="center" vertical="center" textRotation="0" wrapText="true" indent="0" shrinkToFit="false"/>
      <protection locked="true" hidden="false"/>
    </xf>
    <xf numFmtId="164" fontId="9" fillId="2" borderId="0" xfId="0" applyFont="true" applyBorder="true" applyAlignment="true" applyProtection="false">
      <alignment horizontal="left" vertical="center" textRotation="0" wrapText="tru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xf numFmtId="164" fontId="9" fillId="3" borderId="0" xfId="0" applyFont="true" applyBorder="true" applyAlignment="true" applyProtection="false">
      <alignment horizontal="left" vertical="center" textRotation="0" wrapText="true" indent="0" shrinkToFit="false"/>
      <protection locked="true" hidden="false"/>
    </xf>
    <xf numFmtId="164" fontId="11" fillId="0" borderId="0" xfId="0" applyFont="true" applyBorder="false" applyAlignment="true" applyProtection="false">
      <alignment horizontal="left" vertical="center" textRotation="0" wrapText="true" indent="0" shrinkToFit="false"/>
      <protection locked="true" hidden="false"/>
    </xf>
    <xf numFmtId="164" fontId="9" fillId="4" borderId="0" xfId="0" applyFont="true" applyBorder="true" applyAlignment="true" applyProtection="false">
      <alignment horizontal="left" vertical="center" textRotation="0" wrapText="true" indent="0" shrinkToFit="false"/>
      <protection locked="true" hidden="false"/>
    </xf>
    <xf numFmtId="164" fontId="12" fillId="5" borderId="0" xfId="0" applyFont="true" applyBorder="true" applyAlignment="true" applyProtection="false">
      <alignment horizontal="left" vertical="center" textRotation="0" wrapText="true" indent="0" shrinkToFit="false"/>
      <protection locked="true" hidden="false"/>
    </xf>
    <xf numFmtId="164" fontId="13" fillId="5" borderId="0" xfId="0" applyFont="true" applyBorder="true" applyAlignment="true" applyProtection="false">
      <alignment horizontal="left" vertical="center" textRotation="0" wrapText="true" indent="0" shrinkToFit="false"/>
      <protection locked="true" hidden="false"/>
    </xf>
    <xf numFmtId="164" fontId="14" fillId="5" borderId="0" xfId="0" applyFont="true" applyBorder="true" applyAlignment="true" applyProtection="false">
      <alignment horizontal="left" vertical="center" textRotation="0" wrapText="true" indent="0" shrinkToFit="false"/>
      <protection locked="true" hidden="false"/>
    </xf>
    <xf numFmtId="164" fontId="15" fillId="5" borderId="0" xfId="0" applyFont="true" applyBorder="true" applyAlignment="true" applyProtection="false">
      <alignment horizontal="left" vertical="center" textRotation="0" wrapText="true" indent="0" shrinkToFit="false"/>
      <protection locked="true" hidden="false"/>
    </xf>
    <xf numFmtId="164" fontId="16" fillId="5" borderId="0" xfId="0" applyFont="true" applyBorder="true" applyAlignment="true" applyProtection="false">
      <alignment horizontal="left" vertical="center" textRotation="0" wrapText="true" indent="0" shrinkToFit="false"/>
      <protection locked="true" hidden="false"/>
    </xf>
    <xf numFmtId="164" fontId="16" fillId="6" borderId="0" xfId="0" applyFont="true" applyBorder="true" applyAlignment="true" applyProtection="false">
      <alignment horizontal="left" vertical="center" textRotation="0" wrapText="true" indent="0" shrinkToFit="false"/>
      <protection locked="true" hidden="false"/>
    </xf>
    <xf numFmtId="164" fontId="9" fillId="7" borderId="0" xfId="0" applyFont="true" applyBorder="true" applyAlignment="true" applyProtection="false">
      <alignment horizontal="left" vertical="center" textRotation="0" wrapText="true" indent="0" shrinkToFit="false"/>
      <protection locked="true" hidden="false"/>
    </xf>
    <xf numFmtId="164" fontId="17" fillId="8" borderId="0" xfId="0" applyFont="true" applyBorder="true" applyAlignment="true" applyProtection="false">
      <alignment horizontal="left" vertical="center" textRotation="0" wrapText="true" indent="0" shrinkToFit="false"/>
      <protection locked="true" hidden="false"/>
    </xf>
    <xf numFmtId="164" fontId="18" fillId="9" borderId="0" xfId="0" applyFont="true" applyBorder="true" applyAlignment="true" applyProtection="false">
      <alignment horizontal="left" vertical="center" textRotation="0" wrapText="true" indent="0" shrinkToFit="false"/>
      <protection locked="true" hidden="false"/>
    </xf>
    <xf numFmtId="164" fontId="19" fillId="2" borderId="0" xfId="0" applyFont="true" applyBorder="true" applyAlignment="true" applyProtection="false">
      <alignment horizontal="left" vertical="center" textRotation="0" wrapText="true" indent="0" shrinkToFit="false"/>
      <protection locked="true" hidden="false"/>
    </xf>
    <xf numFmtId="164" fontId="20" fillId="0" borderId="0" xfId="0" applyFont="true" applyBorder="true" applyAlignment="true" applyProtection="false">
      <alignment horizontal="left" vertical="center" textRotation="0" wrapText="true" indent="0" shrinkToFit="false"/>
      <protection locked="true" hidden="false"/>
    </xf>
    <xf numFmtId="164" fontId="21" fillId="10" borderId="1" xfId="0" applyFont="true" applyBorder="true" applyAlignment="true" applyProtection="false">
      <alignment horizontal="center" vertical="center" textRotation="0" wrapText="true" indent="0" shrinkToFit="false"/>
      <protection locked="true" hidden="false"/>
    </xf>
    <xf numFmtId="165" fontId="21" fillId="10"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6" fontId="21" fillId="10" borderId="1" xfId="0" applyFont="true" applyBorder="true" applyAlignment="true" applyProtection="false">
      <alignment horizontal="center" vertical="center" textRotation="0" wrapText="true" indent="0" shrinkToFit="false"/>
      <protection locked="true" hidden="false"/>
    </xf>
    <xf numFmtId="167" fontId="21" fillId="10" borderId="1" xfId="0" applyFont="true" applyBorder="true" applyAlignment="true" applyProtection="false">
      <alignment horizontal="center" vertical="center" textRotation="0" wrapText="true" indent="0" shrinkToFit="false"/>
      <protection locked="true" hidden="false"/>
    </xf>
    <xf numFmtId="164" fontId="22" fillId="5" borderId="0" xfId="0" applyFont="true" applyBorder="true" applyAlignment="true" applyProtection="false">
      <alignment horizontal="left" vertical="center" textRotation="0" wrapText="true" indent="0" shrinkToFit="false"/>
      <protection locked="true" hidden="false"/>
    </xf>
    <xf numFmtId="164" fontId="24" fillId="0" borderId="0" xfId="0" applyFont="true" applyBorder="true" applyAlignment="true" applyProtection="false">
      <alignment horizontal="right" vertical="center" textRotation="0" wrapText="true" indent="0" shrinkToFit="false"/>
      <protection locked="true" hidden="false"/>
    </xf>
    <xf numFmtId="164" fontId="25" fillId="0" borderId="0" xfId="0" applyFont="true" applyBorder="true" applyAlignment="true" applyProtection="false">
      <alignment horizontal="center" vertical="center" textRotation="0" wrapText="true" indent="0" shrinkToFit="false"/>
      <protection locked="true" hidden="false"/>
    </xf>
    <xf numFmtId="164" fontId="26" fillId="0" borderId="0" xfId="0" applyFont="true" applyBorder="false" applyAlignment="true" applyProtection="false">
      <alignment horizontal="center" vertical="center" textRotation="0" wrapText="true" indent="0" shrinkToFit="false"/>
      <protection locked="true" hidden="false"/>
    </xf>
    <xf numFmtId="164" fontId="27" fillId="0" borderId="0" xfId="0" applyFont="true" applyBorder="true" applyAlignment="true" applyProtection="false">
      <alignment horizontal="left" vertical="center" textRotation="0" wrapText="true" indent="0" shrinkToFit="false"/>
      <protection locked="true" hidden="false"/>
    </xf>
    <xf numFmtId="165" fontId="28" fillId="0" borderId="1" xfId="0" applyFont="true" applyBorder="true" applyAlignment="true" applyProtection="false">
      <alignment horizontal="center" vertical="center" textRotation="0" wrapText="true" indent="0" shrinkToFit="false"/>
      <protection locked="true" hidden="false"/>
    </xf>
    <xf numFmtId="164" fontId="28" fillId="0" borderId="1" xfId="0" applyFont="true" applyBorder="true" applyAlignment="true" applyProtection="false">
      <alignment horizontal="center" vertical="center" textRotation="0" wrapText="true" indent="0" shrinkToFit="false"/>
      <protection locked="true" hidden="false"/>
    </xf>
    <xf numFmtId="166" fontId="28" fillId="0" borderId="1" xfId="0" applyFont="true" applyBorder="true" applyAlignment="true" applyProtection="false">
      <alignment horizontal="center" vertical="center" textRotation="0" wrapText="true" indent="0" shrinkToFit="false"/>
      <protection locked="true" hidden="false"/>
    </xf>
    <xf numFmtId="168" fontId="27" fillId="0" borderId="1" xfId="0" applyFont="true" applyBorder="true" applyAlignment="true" applyProtection="false">
      <alignment horizontal="center" vertical="center" textRotation="0" wrapText="true" indent="0" shrinkToFit="false"/>
      <protection locked="true" hidden="false"/>
    </xf>
    <xf numFmtId="166" fontId="27" fillId="0" borderId="1" xfId="0" applyFont="true" applyBorder="true" applyAlignment="true" applyProtection="false">
      <alignment horizontal="center" vertical="center" textRotation="0" wrapText="true" indent="0" shrinkToFit="false"/>
      <protection locked="true" hidden="false"/>
    </xf>
    <xf numFmtId="167" fontId="27" fillId="0" borderId="1" xfId="0" applyFont="true" applyBorder="true" applyAlignment="true" applyProtection="false">
      <alignment horizontal="center" vertical="center" textRotation="0" wrapText="true" indent="0" shrinkToFit="false"/>
      <protection locked="true" hidden="false"/>
    </xf>
    <xf numFmtId="167" fontId="28" fillId="0" borderId="1" xfId="0" applyFont="true" applyBorder="true" applyAlignment="true" applyProtection="false">
      <alignment horizontal="center" vertical="center" textRotation="0" wrapText="true" indent="0" shrinkToFit="false"/>
      <protection locked="true" hidden="false"/>
    </xf>
    <xf numFmtId="165" fontId="27" fillId="0" borderId="1" xfId="0" applyFont="true" applyBorder="true" applyAlignment="true" applyProtection="false">
      <alignment horizontal="center" vertical="center" textRotation="0" wrapText="true" indent="0" shrinkToFit="false"/>
      <protection locked="true" hidden="false"/>
    </xf>
    <xf numFmtId="164" fontId="29" fillId="0" borderId="0" xfId="0" applyFont="true" applyBorder="true" applyAlignment="true" applyProtection="false">
      <alignment horizontal="center" vertical="center" textRotation="0" wrapText="true" indent="0" shrinkToFit="false"/>
      <protection locked="true" hidden="false"/>
    </xf>
    <xf numFmtId="164" fontId="30" fillId="0" borderId="0" xfId="0" applyFont="true" applyBorder="true" applyAlignment="true" applyProtection="false">
      <alignment horizontal="left" vertical="center" textRotation="0" wrapText="true" indent="0" shrinkToFit="false"/>
      <protection locked="true" hidden="false"/>
    </xf>
    <xf numFmtId="167" fontId="30" fillId="0" borderId="1" xfId="0" applyFont="true" applyBorder="true" applyAlignment="true" applyProtection="false">
      <alignment horizontal="center" vertical="center" textRotation="0" wrapText="true" indent="0" shrinkToFit="false"/>
      <protection locked="true" hidden="false"/>
    </xf>
    <xf numFmtId="164" fontId="22" fillId="0" borderId="0" xfId="0" applyFont="true" applyBorder="true" applyAlignment="true" applyProtection="false">
      <alignment horizontal="left" vertical="center" textRotation="0" wrapText="true" indent="0" shrinkToFit="false"/>
      <protection locked="true" hidden="false"/>
    </xf>
    <xf numFmtId="164" fontId="31" fillId="3" borderId="1" xfId="0" applyFont="true" applyBorder="true" applyAlignment="true" applyProtection="false">
      <alignment horizontal="center" vertical="center" textRotation="0" wrapText="true" indent="0" shrinkToFit="false"/>
      <protection locked="true" hidden="false"/>
    </xf>
    <xf numFmtId="164" fontId="32" fillId="0" borderId="1" xfId="0" applyFont="true" applyBorder="true" applyAlignment="true" applyProtection="false">
      <alignment horizontal="center" vertical="center" textRotation="0" wrapText="true" indent="0" shrinkToFit="false"/>
      <protection locked="true" hidden="false"/>
    </xf>
    <xf numFmtId="169" fontId="32" fillId="0" borderId="1" xfId="0" applyFont="true" applyBorder="true" applyAlignment="true" applyProtection="false">
      <alignment horizontal="center" vertical="center" textRotation="0" wrapText="true" indent="0" shrinkToFit="false"/>
      <protection locked="true" hidden="false"/>
    </xf>
    <xf numFmtId="170" fontId="32" fillId="0" borderId="1" xfId="0" applyFont="true" applyBorder="true" applyAlignment="true" applyProtection="false">
      <alignment horizontal="center" vertical="center" textRotation="0" wrapText="true" indent="0" shrinkToFit="false"/>
      <protection locked="true" hidden="false"/>
    </xf>
    <xf numFmtId="170" fontId="27" fillId="0" borderId="1" xfId="0" applyFont="true" applyBorder="true" applyAlignment="true" applyProtection="false">
      <alignment horizontal="center" vertical="center" textRotation="0" wrapText="true" indent="0" shrinkToFit="false"/>
      <protection locked="true" hidden="false"/>
    </xf>
    <xf numFmtId="164" fontId="27" fillId="0" borderId="1" xfId="0" applyFont="true" applyBorder="true" applyAlignment="true" applyProtection="false">
      <alignment horizontal="center" vertical="center" textRotation="0" wrapText="true" indent="0" shrinkToFit="false"/>
      <protection locked="true" hidden="false"/>
    </xf>
    <xf numFmtId="165" fontId="30" fillId="0" borderId="1" xfId="0" applyFont="true" applyBorder="true" applyAlignment="true" applyProtection="false">
      <alignment horizontal="center" vertical="center" textRotation="0" wrapText="true" indent="0" shrinkToFit="false"/>
      <protection locked="true" hidden="false"/>
    </xf>
    <xf numFmtId="170" fontId="30" fillId="0" borderId="1" xfId="0" applyFont="true" applyBorder="true" applyAlignment="true" applyProtection="false">
      <alignment horizontal="center" vertical="center" textRotation="0" wrapText="true" indent="0" shrinkToFit="false"/>
      <protection locked="true" hidden="false"/>
    </xf>
    <xf numFmtId="164" fontId="33" fillId="0" borderId="0" xfId="0" applyFont="true" applyBorder="true" applyAlignment="true" applyProtection="false">
      <alignment horizontal="left" vertical="center" textRotation="0" wrapText="true" indent="0" shrinkToFit="false"/>
      <protection locked="true" hidden="false"/>
    </xf>
    <xf numFmtId="164" fontId="9" fillId="9" borderId="0" xfId="0" applyFont="true" applyBorder="true" applyAlignment="true" applyProtection="false">
      <alignment horizontal="left" vertical="center" textRotation="0" wrapText="true" indent="0" shrinkToFit="false"/>
      <protection locked="true" hidden="false"/>
    </xf>
    <xf numFmtId="171" fontId="30" fillId="0" borderId="1" xfId="0" applyFont="true" applyBorder="true" applyAlignment="true" applyProtection="false">
      <alignment horizontal="center" vertical="center" textRotation="0" wrapText="true" indent="0" shrinkToFit="false"/>
      <protection locked="true" hidden="false"/>
    </xf>
    <xf numFmtId="164" fontId="31" fillId="2" borderId="1" xfId="0" applyFont="true" applyBorder="true" applyAlignment="true" applyProtection="false">
      <alignment horizontal="left" vertical="center" textRotation="0" wrapText="true" indent="0" shrinkToFit="false"/>
      <protection locked="true" hidden="false"/>
    </xf>
    <xf numFmtId="164" fontId="34" fillId="2" borderId="1" xfId="0" applyFont="true" applyBorder="true" applyAlignment="true" applyProtection="false">
      <alignment horizontal="center" vertical="center" textRotation="0" wrapText="true" indent="0" shrinkToFit="false"/>
      <protection locked="true" hidden="false"/>
    </xf>
    <xf numFmtId="164" fontId="35" fillId="5" borderId="1" xfId="0" applyFont="true" applyBorder="true" applyAlignment="true" applyProtection="false">
      <alignment horizontal="left" vertical="center" textRotation="0" wrapText="true" indent="0" shrinkToFit="false"/>
      <protection locked="true" hidden="false"/>
    </xf>
    <xf numFmtId="164" fontId="36" fillId="11" borderId="1" xfId="0" applyFont="true" applyBorder="true" applyAlignment="true" applyProtection="false">
      <alignment horizontal="center" vertical="center" textRotation="0" wrapText="true" indent="0" shrinkToFit="false"/>
      <protection locked="true" hidden="false"/>
    </xf>
    <xf numFmtId="164" fontId="37" fillId="12" borderId="1" xfId="0" applyFont="true" applyBorder="true" applyAlignment="true" applyProtection="false">
      <alignment horizontal="center" vertical="center" textRotation="0" wrapText="true" indent="0" shrinkToFit="false"/>
      <protection locked="true" hidden="false"/>
    </xf>
    <xf numFmtId="164" fontId="38" fillId="5" borderId="1" xfId="0" applyFont="true" applyBorder="true" applyAlignment="true" applyProtection="false">
      <alignment horizontal="center" vertical="center" textRotation="0" wrapText="true" indent="0" shrinkToFit="false"/>
      <protection locked="true" hidden="false"/>
    </xf>
    <xf numFmtId="164" fontId="39" fillId="13" borderId="1" xfId="0" applyFont="true" applyBorder="true" applyAlignment="true" applyProtection="false">
      <alignment horizontal="center" vertical="center" textRotation="0" wrapText="true" indent="0" shrinkToFit="false"/>
      <protection locked="true" hidden="false"/>
    </xf>
    <xf numFmtId="164" fontId="40" fillId="2" borderId="0" xfId="0" applyFont="true" applyBorder="true" applyAlignment="true" applyProtection="false">
      <alignment horizontal="left" vertical="center" textRotation="0" wrapText="true" indent="0" shrinkToFit="false"/>
      <protection locked="true" hidden="false"/>
    </xf>
    <xf numFmtId="164" fontId="32" fillId="0" borderId="0" xfId="0" applyFont="true" applyBorder="true" applyAlignment="true" applyProtection="false">
      <alignment horizontal="left" vertical="center" textRotation="0" wrapText="true" indent="0" shrinkToFit="false"/>
      <protection locked="true" hidden="false"/>
    </xf>
    <xf numFmtId="164" fontId="40" fillId="9" borderId="0" xfId="0" applyFont="true" applyBorder="true" applyAlignment="true" applyProtection="false">
      <alignment horizontal="left" vertical="center" textRotation="0" wrapText="true" indent="0" shrinkToFit="false"/>
      <protection locked="true" hidden="false"/>
    </xf>
    <xf numFmtId="164" fontId="28" fillId="5" borderId="0" xfId="0" applyFont="true" applyBorder="true" applyAlignment="true" applyProtection="false">
      <alignment horizontal="left" vertical="center" textRotation="0" wrapText="true" indent="0" shrinkToFit="false"/>
      <protection locked="true" hidden="false"/>
    </xf>
    <xf numFmtId="164" fontId="31" fillId="2" borderId="1" xfId="0" applyFont="true" applyBorder="true" applyAlignment="true" applyProtection="false">
      <alignment horizontal="center" vertical="center" textRotation="0" wrapText="true" indent="0" shrinkToFit="false"/>
      <protection locked="true" hidden="false"/>
    </xf>
    <xf numFmtId="164" fontId="41" fillId="0" borderId="1" xfId="0" applyFont="true" applyBorder="true" applyAlignment="true" applyProtection="false">
      <alignment horizontal="center" vertical="center" textRotation="0" wrapText="true" indent="0" shrinkToFit="false"/>
      <protection locked="true" hidden="false"/>
    </xf>
    <xf numFmtId="164" fontId="16" fillId="14" borderId="1" xfId="0" applyFont="true" applyBorder="true" applyAlignment="true" applyProtection="false">
      <alignment horizontal="left" vertical="center" textRotation="0" wrapText="true" indent="0" shrinkToFit="false"/>
      <protection locked="true" hidden="false"/>
    </xf>
    <xf numFmtId="164" fontId="16" fillId="15" borderId="1" xfId="0" applyFont="true" applyBorder="true" applyAlignment="true" applyProtection="false">
      <alignment horizontal="left" vertical="center" textRotation="0" wrapText="true" indent="0" shrinkToFit="false"/>
      <protection locked="true" hidden="false"/>
    </xf>
    <xf numFmtId="164" fontId="33" fillId="0" borderId="1" xfId="0" applyFont="true" applyBorder="true" applyAlignment="true" applyProtection="false">
      <alignment horizontal="left" vertical="center" textRotation="0" wrapText="true" indent="0" shrinkToFit="false"/>
      <protection locked="true" hidden="false"/>
    </xf>
    <xf numFmtId="164" fontId="40" fillId="4" borderId="0" xfId="0" applyFont="true" applyBorder="true" applyAlignment="true" applyProtection="false">
      <alignment horizontal="left" vertical="center" textRotation="0" wrapText="true" indent="0" shrinkToFit="false"/>
      <protection locked="true" hidden="false"/>
    </xf>
    <xf numFmtId="164" fontId="42" fillId="9" borderId="0" xfId="0" applyFont="true" applyBorder="true" applyAlignment="true" applyProtection="false">
      <alignment horizontal="left" vertical="center" textRotation="0" wrapText="true" indent="0" shrinkToFit="false"/>
      <protection locked="true" hidden="false"/>
    </xf>
    <xf numFmtId="164" fontId="43" fillId="5" borderId="0" xfId="0" applyFont="true" applyBorder="true" applyAlignment="true" applyProtection="false">
      <alignment horizontal="left" vertical="center" textRotation="0" wrapText="true" indent="0" shrinkToFit="false"/>
      <protection locked="true" hidden="false"/>
    </xf>
    <xf numFmtId="164" fontId="32" fillId="0" borderId="1" xfId="0" applyFont="true" applyBorder="true" applyAlignment="true" applyProtection="false">
      <alignment horizontal="left" vertical="center" textRotation="0" wrapText="true" indent="0" shrinkToFit="false"/>
      <protection locked="true" hidden="false"/>
    </xf>
    <xf numFmtId="166" fontId="43" fillId="0" borderId="1"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true" applyAlignment="true" applyProtection="false">
      <alignment horizontal="center" vertical="center" textRotation="0" wrapText="true" indent="0" shrinkToFit="false"/>
      <protection locked="true" hidden="false"/>
    </xf>
    <xf numFmtId="164" fontId="44" fillId="0" borderId="0" xfId="0" applyFont="true" applyBorder="true" applyAlignment="true" applyProtection="false">
      <alignment horizontal="center" vertical="center" textRotation="0" wrapText="true" indent="0" shrinkToFit="false"/>
      <protection locked="true" hidden="false"/>
    </xf>
    <xf numFmtId="164" fontId="17" fillId="0" borderId="0"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left" vertical="center" textRotation="0" wrapText="true" indent="0" shrinkToFit="false"/>
      <protection locked="true" hidden="false"/>
    </xf>
    <xf numFmtId="164" fontId="45" fillId="0" borderId="0" xfId="0" applyFont="true" applyBorder="true" applyAlignment="true" applyProtection="false">
      <alignment horizontal="left" vertical="center" textRotation="0" wrapText="true" indent="0" shrinkToFit="false"/>
      <protection locked="true" hidden="false"/>
    </xf>
    <xf numFmtId="164" fontId="27" fillId="0" borderId="0" xfId="0" applyFont="true" applyBorder="true" applyAlignment="true" applyProtection="false">
      <alignment horizontal="justify" vertical="top" textRotation="0" wrapText="true" indent="0" shrinkToFit="false"/>
      <protection locked="true" hidden="false"/>
    </xf>
    <xf numFmtId="164" fontId="46" fillId="0" borderId="0" xfId="0" applyFont="true" applyBorder="true" applyAlignment="true" applyProtection="false">
      <alignment horizontal="center" vertical="center" textRotation="0" wrapText="true" indent="0" shrinkToFit="false"/>
      <protection locked="true" hidden="false"/>
    </xf>
    <xf numFmtId="164" fontId="45" fillId="0" borderId="0" xfId="0" applyFont="true" applyBorder="true" applyAlignment="true" applyProtection="false">
      <alignment horizontal="center" vertical="center" textRotation="0" wrapText="true" indent="0" shrinkToFit="false"/>
      <protection locked="true" hidden="false"/>
    </xf>
    <xf numFmtId="164" fontId="27" fillId="0" borderId="0" xfId="0" applyFont="true" applyBorder="true" applyAlignment="true" applyProtection="false">
      <alignment horizontal="center" vertical="center" textRotation="0" wrapText="true" indent="0" shrinkToFit="false"/>
      <protection locked="true" hidden="false"/>
    </xf>
    <xf numFmtId="164" fontId="20" fillId="0" borderId="0" xfId="0" applyFont="true" applyBorder="true" applyAlignment="true" applyProtection="false">
      <alignment horizontal="center" vertical="center" textRotation="0" wrapText="true" indent="0" shrinkToFit="false"/>
      <protection locked="true" hidden="false"/>
    </xf>
    <xf numFmtId="164" fontId="31" fillId="2" borderId="3" xfId="0" applyFont="true" applyBorder="true" applyAlignment="true" applyProtection="false">
      <alignment horizontal="center" vertical="center" textRotation="0" wrapText="true" indent="0" shrinkToFit="false"/>
      <protection locked="true" hidden="false"/>
    </xf>
    <xf numFmtId="164" fontId="32" fillId="0" borderId="3" xfId="0" applyFont="true" applyBorder="true" applyAlignment="true" applyProtection="false">
      <alignment horizontal="left" vertical="center" textRotation="0" wrapText="true" indent="0" shrinkToFit="false"/>
      <protection locked="true" hidden="false"/>
    </xf>
    <xf numFmtId="164" fontId="35" fillId="0" borderId="1" xfId="0" applyFont="true" applyBorder="true" applyAlignment="true" applyProtection="false">
      <alignment horizontal="center" vertical="center" textRotation="0" wrapText="true" indent="0" shrinkToFit="false"/>
      <protection locked="true" hidden="false"/>
    </xf>
    <xf numFmtId="164" fontId="29" fillId="0" borderId="3" xfId="0" applyFont="true" applyBorder="true" applyAlignment="true" applyProtection="false">
      <alignment horizontal="center" vertical="center" textRotation="0" wrapText="tru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ont>
        <name val="Arial"/>
        <charset val="1"/>
        <family val="0"/>
        <b val="1"/>
        <color rgb="FFFFFFFF"/>
        <sz val="14"/>
      </font>
      <fill>
        <patternFill>
          <bgColor rgb="FF2E7D52"/>
        </patternFill>
      </fill>
    </dxf>
    <dxf>
      <font>
        <name val="Arial"/>
        <charset val="1"/>
        <family val="0"/>
        <b val="1"/>
        <color rgb="FFFFFFFF"/>
        <sz val="14"/>
      </font>
      <fill>
        <patternFill>
          <bgColor rgb="FFB23A3A"/>
        </patternFill>
      </fill>
    </dxf>
    <dxf>
      <font>
        <name val="Arial"/>
        <charset val="1"/>
        <family val="0"/>
        <b val="1"/>
        <color rgb="FF2E7D52"/>
        <sz val="9"/>
      </font>
      <fill>
        <patternFill>
          <bgColor rgb="FFD8EFE0"/>
        </patternFill>
      </fill>
    </dxf>
    <dxf>
      <font>
        <name val="Arial"/>
        <charset val="1"/>
        <family val="0"/>
        <b val="1"/>
        <color rgb="FFB23A3A"/>
        <sz val="9"/>
      </font>
      <fill>
        <patternFill>
          <bgColor rgb="FFF4D6D6"/>
        </patternFill>
      </fill>
    </dxf>
    <dxf>
      <font>
        <name val="Arial"/>
        <charset val="1"/>
        <family val="0"/>
        <b val="1"/>
        <color rgb="FF2E7D52"/>
        <sz val="10"/>
      </font>
      <fill>
        <patternFill>
          <bgColor rgb="FFD8EFE0"/>
        </patternFill>
      </fill>
    </dxf>
    <dxf>
      <font>
        <name val="Arial"/>
        <charset val="1"/>
        <family val="0"/>
        <b val="1"/>
        <color rgb="FFB23A3A"/>
        <sz val="10"/>
      </font>
      <fill>
        <patternFill>
          <bgColor rgb="FFF4D6D6"/>
        </patternFill>
      </fill>
    </dxf>
    <dxf>
      <font>
        <name val="Arial"/>
        <charset val="1"/>
        <family val="0"/>
        <b val="1"/>
        <color rgb="FFFFFFFF"/>
        <sz val="14"/>
      </font>
      <fill>
        <patternFill>
          <bgColor rgb="FF2E7D52"/>
        </patternFill>
      </fill>
    </dxf>
    <dxf>
      <font>
        <name val="Arial"/>
        <charset val="1"/>
        <family val="0"/>
        <b val="1"/>
        <color rgb="FFFFFFFF"/>
        <sz val="14"/>
      </font>
      <fill>
        <patternFill>
          <bgColor rgb="FFB23A3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E7D52"/>
      <rgbColor rgb="FFBFBFBF"/>
      <rgbColor rgb="FF808080"/>
      <rgbColor rgb="FF9999FF"/>
      <rgbColor rgb="FFB23A3A"/>
      <rgbColor rgb="FFFFF6D9"/>
      <rgbColor rgb="FFE8F0EF"/>
      <rgbColor rgb="FF660066"/>
      <rgbColor rgb="FFFF8080"/>
      <rgbColor rgb="FF0066CC"/>
      <rgbColor rgb="FFD6E4E2"/>
      <rgbColor rgb="FF000080"/>
      <rgbColor rgb="FFFF00FF"/>
      <rgbColor rgb="FFFFFF00"/>
      <rgbColor rgb="FF00FFFF"/>
      <rgbColor rgb="FF800080"/>
      <rgbColor rgb="FF800000"/>
      <rgbColor rgb="FF1A6B3C"/>
      <rgbColor rgb="FF0000FF"/>
      <rgbColor rgb="FF00CCFF"/>
      <rgbColor rgb="FFEFF4F8"/>
      <rgbColor rgb="FFD8EFE0"/>
      <rgbColor rgb="FFFCF3CF"/>
      <rgbColor rgb="FFF6F1E6"/>
      <rgbColor rgb="FFFF99CC"/>
      <rgbColor rgb="FFCC99FF"/>
      <rgbColor rgb="FFF4D6D6"/>
      <rgbColor rgb="FF3366FF"/>
      <rgbColor rgb="FF33CCCC"/>
      <rgbColor rgb="FF99CC00"/>
      <rgbColor rgb="FFFFCC00"/>
      <rgbColor rgb="FFC8922A"/>
      <rgbColor rgb="FFFF6600"/>
      <rgbColor rgb="FF5A5A5A"/>
      <rgbColor rgb="FF969696"/>
      <rgbColor rgb="FF003366"/>
      <rgbColor rgb="FF4F8C88"/>
      <rgbColor rgb="FF122929"/>
      <rgbColor rgb="FF333300"/>
      <rgbColor rgb="FF993300"/>
      <rgbColor rgb="FF993366"/>
      <rgbColor rgb="FF333399"/>
      <rgbColor rgb="FF2E5D5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2.xml.rels><?xml version="1.0" encoding="UTF-8"?>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5.png"/>
</Relationships>
</file>

<file path=xl/drawings/_rels/drawing3.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4.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6</xdr:row>
      <xdr:rowOff>0</xdr:rowOff>
    </xdr:from>
    <xdr:to>
      <xdr:col>7</xdr:col>
      <xdr:colOff>416520</xdr:colOff>
      <xdr:row>12</xdr:row>
      <xdr:rowOff>56520</xdr:rowOff>
    </xdr:to>
    <xdr:pic>
      <xdr:nvPicPr>
        <xdr:cNvPr id="0" name="Image 1" descr="Picture"/>
        <xdr:cNvPicPr/>
      </xdr:nvPicPr>
      <xdr:blipFill>
        <a:blip r:embed="rId1"/>
        <a:stretch/>
      </xdr:blipFill>
      <xdr:spPr>
        <a:xfrm>
          <a:off x="1727280" y="1295280"/>
          <a:ext cx="7323840" cy="1428120"/>
        </a:xfrm>
        <a:prstGeom prst="rect">
          <a:avLst/>
        </a:prstGeom>
        <a:ln w="0">
          <a:noFill/>
        </a:ln>
      </xdr:spPr>
    </xdr:pic>
    <xdr:clientData/>
  </xdr:twoCellAnchor>
  <xdr:twoCellAnchor editAs="oneCell">
    <xdr:from>
      <xdr:col>1</xdr:col>
      <xdr:colOff>0</xdr:colOff>
      <xdr:row>47</xdr:row>
      <xdr:rowOff>0</xdr:rowOff>
    </xdr:from>
    <xdr:to>
      <xdr:col>4</xdr:col>
      <xdr:colOff>461880</xdr:colOff>
      <xdr:row>61</xdr:row>
      <xdr:rowOff>189720</xdr:rowOff>
    </xdr:to>
    <xdr:pic>
      <xdr:nvPicPr>
        <xdr:cNvPr id="1" name="Image 2" descr="Picture"/>
        <xdr:cNvPicPr/>
      </xdr:nvPicPr>
      <xdr:blipFill>
        <a:blip r:embed="rId2"/>
        <a:stretch/>
      </xdr:blipFill>
      <xdr:spPr>
        <a:xfrm>
          <a:off x="176400" y="10477440"/>
          <a:ext cx="5114160" cy="28569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24</xdr:row>
      <xdr:rowOff>0</xdr:rowOff>
    </xdr:from>
    <xdr:to>
      <xdr:col>14</xdr:col>
      <xdr:colOff>433800</xdr:colOff>
      <xdr:row>33</xdr:row>
      <xdr:rowOff>94680</xdr:rowOff>
    </xdr:to>
    <xdr:pic>
      <xdr:nvPicPr>
        <xdr:cNvPr id="2" name="Image 1" descr="Picture"/>
        <xdr:cNvPicPr/>
      </xdr:nvPicPr>
      <xdr:blipFill>
        <a:blip r:embed="rId1"/>
        <a:stretch/>
      </xdr:blipFill>
      <xdr:spPr>
        <a:xfrm>
          <a:off x="9951120" y="5210280"/>
          <a:ext cx="2971080" cy="1809000"/>
        </a:xfrm>
        <a:prstGeom prst="rect">
          <a:avLst/>
        </a:prstGeom>
        <a:ln w="0">
          <a:noFill/>
        </a:ln>
      </xdr:spPr>
    </xdr:pic>
    <xdr:clientData/>
  </xdr:twoCellAnchor>
  <xdr:twoCellAnchor editAs="oneCell">
    <xdr:from>
      <xdr:col>11</xdr:col>
      <xdr:colOff>0</xdr:colOff>
      <xdr:row>46</xdr:row>
      <xdr:rowOff>0</xdr:rowOff>
    </xdr:from>
    <xdr:to>
      <xdr:col>13</xdr:col>
      <xdr:colOff>517320</xdr:colOff>
      <xdr:row>59</xdr:row>
      <xdr:rowOff>180360</xdr:rowOff>
    </xdr:to>
    <xdr:pic>
      <xdr:nvPicPr>
        <xdr:cNvPr id="3" name="Image 2" descr="Picture"/>
        <xdr:cNvPicPr/>
      </xdr:nvPicPr>
      <xdr:blipFill>
        <a:blip r:embed="rId2"/>
        <a:stretch/>
      </xdr:blipFill>
      <xdr:spPr>
        <a:xfrm>
          <a:off x="9951120" y="9543960"/>
          <a:ext cx="2208960" cy="2856960"/>
        </a:xfrm>
        <a:prstGeom prst="rect">
          <a:avLst/>
        </a:prstGeom>
        <a:ln w="0">
          <a:noFill/>
        </a:ln>
      </xdr:spPr>
    </xdr:pic>
    <xdr:clientData/>
  </xdr:twoCellAnchor>
  <xdr:twoCellAnchor editAs="oneCell">
    <xdr:from>
      <xdr:col>11</xdr:col>
      <xdr:colOff>0</xdr:colOff>
      <xdr:row>66</xdr:row>
      <xdr:rowOff>0</xdr:rowOff>
    </xdr:from>
    <xdr:to>
      <xdr:col>13</xdr:col>
      <xdr:colOff>317520</xdr:colOff>
      <xdr:row>77</xdr:row>
      <xdr:rowOff>180360</xdr:rowOff>
    </xdr:to>
    <xdr:pic>
      <xdr:nvPicPr>
        <xdr:cNvPr id="4" name="Image 3" descr="Picture"/>
        <xdr:cNvPicPr/>
      </xdr:nvPicPr>
      <xdr:blipFill>
        <a:blip r:embed="rId3"/>
        <a:stretch/>
      </xdr:blipFill>
      <xdr:spPr>
        <a:xfrm>
          <a:off x="9951120" y="13658760"/>
          <a:ext cx="2009160" cy="238068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xdr:row>
      <xdr:rowOff>0</xdr:rowOff>
    </xdr:from>
    <xdr:to>
      <xdr:col>4</xdr:col>
      <xdr:colOff>290880</xdr:colOff>
      <xdr:row>2</xdr:row>
      <xdr:rowOff>247320</xdr:rowOff>
    </xdr:to>
    <xdr:pic>
      <xdr:nvPicPr>
        <xdr:cNvPr id="5" name="Image 1" descr="Picture"/>
        <xdr:cNvPicPr/>
      </xdr:nvPicPr>
      <xdr:blipFill>
        <a:blip r:embed="rId1"/>
        <a:stretch/>
      </xdr:blipFill>
      <xdr:spPr>
        <a:xfrm>
          <a:off x="176400" y="190440"/>
          <a:ext cx="2828520" cy="552240"/>
        </a:xfrm>
        <a:prstGeom prst="rect">
          <a:avLst/>
        </a:prstGeom>
        <a:ln w="0">
          <a:noFill/>
        </a:ln>
      </xdr:spPr>
    </xdr:pic>
    <xdr:clientData/>
  </xdr:twoCellAnchor>
  <xdr:twoCellAnchor editAs="oneCell">
    <xdr:from>
      <xdr:col>1</xdr:col>
      <xdr:colOff>0</xdr:colOff>
      <xdr:row>32</xdr:row>
      <xdr:rowOff>0</xdr:rowOff>
    </xdr:from>
    <xdr:to>
      <xdr:col>4</xdr:col>
      <xdr:colOff>700560</xdr:colOff>
      <xdr:row>41</xdr:row>
      <xdr:rowOff>95040</xdr:rowOff>
    </xdr:to>
    <xdr:pic>
      <xdr:nvPicPr>
        <xdr:cNvPr id="6" name="Image 2" descr="Picture"/>
        <xdr:cNvPicPr/>
      </xdr:nvPicPr>
      <xdr:blipFill>
        <a:blip r:embed="rId2"/>
        <a:stretch/>
      </xdr:blipFill>
      <xdr:spPr>
        <a:xfrm>
          <a:off x="176400" y="10153800"/>
          <a:ext cx="3238200" cy="180936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xdr:row>
      <xdr:rowOff>0</xdr:rowOff>
    </xdr:from>
    <xdr:to>
      <xdr:col>4</xdr:col>
      <xdr:colOff>290880</xdr:colOff>
      <xdr:row>2</xdr:row>
      <xdr:rowOff>247320</xdr:rowOff>
    </xdr:to>
    <xdr:pic>
      <xdr:nvPicPr>
        <xdr:cNvPr id="7" name="Image 1" descr="Picture"/>
        <xdr:cNvPicPr/>
      </xdr:nvPicPr>
      <xdr:blipFill>
        <a:blip r:embed="rId1"/>
        <a:stretch/>
      </xdr:blipFill>
      <xdr:spPr>
        <a:xfrm>
          <a:off x="176400" y="190440"/>
          <a:ext cx="2828520" cy="55224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F6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5"/>
    <col collapsed="false" customWidth="true" hidden="false" outlineLevel="0" max="6" min="2" style="1" width="22"/>
    <col collapsed="false" customWidth="true" hidden="false" outlineLevel="0" max="7" min="7" style="1" width="10"/>
  </cols>
  <sheetData>
    <row r="2" customFormat="false" ht="7.5" hidden="false" customHeight="true" outlineLevel="0" collapsed="false">
      <c r="B2" s="2"/>
      <c r="C2" s="2"/>
      <c r="D2" s="2"/>
      <c r="E2" s="2"/>
      <c r="F2" s="2"/>
    </row>
    <row r="3" customFormat="false" ht="30" hidden="false" customHeight="true" outlineLevel="0" collapsed="false">
      <c r="B3" s="3" t="s">
        <v>0</v>
      </c>
      <c r="C3" s="3"/>
      <c r="D3" s="3"/>
      <c r="E3" s="3"/>
      <c r="F3" s="3"/>
    </row>
    <row r="4" customFormat="false" ht="19.5" hidden="false" customHeight="true" outlineLevel="0" collapsed="false">
      <c r="B4" s="4" t="s">
        <v>1</v>
      </c>
      <c r="C4" s="4"/>
      <c r="D4" s="4"/>
      <c r="E4" s="4"/>
      <c r="F4" s="4"/>
    </row>
    <row r="5" customFormat="false" ht="15" hidden="false" customHeight="true" outlineLevel="0" collapsed="false">
      <c r="B5" s="5" t="s">
        <v>2</v>
      </c>
      <c r="C5" s="5"/>
      <c r="D5" s="5"/>
      <c r="E5" s="5"/>
      <c r="F5" s="5"/>
    </row>
    <row r="7" customFormat="false" ht="18" hidden="false" customHeight="true" outlineLevel="0" collapsed="false"/>
    <row r="8" customFormat="false" ht="18" hidden="false" customHeight="true" outlineLevel="0" collapsed="false"/>
    <row r="9" customFormat="false" ht="18" hidden="false" customHeight="true" outlineLevel="0" collapsed="false"/>
    <row r="10" customFormat="false" ht="18" hidden="false" customHeight="true" outlineLevel="0" collapsed="false"/>
    <row r="11" customFormat="false" ht="18" hidden="false" customHeight="true" outlineLevel="0" collapsed="false"/>
    <row r="12" customFormat="false" ht="18" hidden="false" customHeight="true" outlineLevel="0" collapsed="false"/>
    <row r="13" customFormat="false" ht="18" hidden="false" customHeight="true" outlineLevel="0" collapsed="false"/>
    <row r="14" customFormat="false" ht="18" hidden="false" customHeight="true" outlineLevel="0" collapsed="false"/>
    <row r="15" customFormat="false" ht="18" hidden="false" customHeight="true" outlineLevel="0" collapsed="false"/>
    <row r="17" customFormat="false" ht="19.5" hidden="false" customHeight="true" outlineLevel="0" collapsed="false">
      <c r="B17" s="6" t="s">
        <v>3</v>
      </c>
      <c r="C17" s="6"/>
      <c r="D17" s="6"/>
      <c r="E17" s="6"/>
      <c r="F17" s="6"/>
    </row>
    <row r="18" customFormat="false" ht="15" hidden="false" customHeight="true" outlineLevel="0" collapsed="false">
      <c r="B18" s="7" t="s">
        <v>4</v>
      </c>
      <c r="C18" s="7"/>
      <c r="D18" s="7"/>
      <c r="E18" s="7"/>
      <c r="F18" s="7"/>
    </row>
    <row r="19" customFormat="false" ht="15" hidden="false" customHeight="true" outlineLevel="0" collapsed="false">
      <c r="B19" s="7" t="s">
        <v>5</v>
      </c>
      <c r="C19" s="7"/>
      <c r="D19" s="7"/>
      <c r="E19" s="7"/>
      <c r="F19" s="7"/>
    </row>
    <row r="21" customFormat="false" ht="19.5" hidden="false" customHeight="true" outlineLevel="0" collapsed="false">
      <c r="B21" s="8" t="s">
        <v>6</v>
      </c>
      <c r="C21" s="8"/>
      <c r="D21" s="8"/>
      <c r="E21" s="8"/>
      <c r="F21" s="8"/>
    </row>
    <row r="22" customFormat="false" ht="15.75" hidden="false" customHeight="true" outlineLevel="0" collapsed="false">
      <c r="B22" s="9" t="s">
        <v>7</v>
      </c>
      <c r="C22" s="9"/>
      <c r="D22" s="9"/>
      <c r="E22" s="9"/>
      <c r="F22" s="9"/>
    </row>
    <row r="23" customFormat="false" ht="15.75" hidden="false" customHeight="true" outlineLevel="0" collapsed="false">
      <c r="B23" s="9" t="s">
        <v>8</v>
      </c>
      <c r="C23" s="9"/>
      <c r="D23" s="9"/>
      <c r="E23" s="9"/>
      <c r="F23" s="9"/>
    </row>
    <row r="24" customFormat="false" ht="15.75" hidden="false" customHeight="true" outlineLevel="0" collapsed="false">
      <c r="B24" s="9" t="s">
        <v>9</v>
      </c>
      <c r="C24" s="9"/>
      <c r="D24" s="9"/>
      <c r="E24" s="9"/>
      <c r="F24" s="9"/>
    </row>
    <row r="25" customFormat="false" ht="15.75" hidden="false" customHeight="true" outlineLevel="0" collapsed="false">
      <c r="B25" s="9" t="s">
        <v>10</v>
      </c>
      <c r="C25" s="9"/>
      <c r="D25" s="9"/>
      <c r="E25" s="9"/>
      <c r="F25" s="9"/>
    </row>
    <row r="26" customFormat="false" ht="15.75" hidden="false" customHeight="true" outlineLevel="0" collapsed="false">
      <c r="B26" s="9" t="s">
        <v>11</v>
      </c>
      <c r="C26" s="9"/>
      <c r="D26" s="9"/>
      <c r="E26" s="9"/>
      <c r="F26" s="9"/>
    </row>
    <row r="27" customFormat="false" ht="15.75" hidden="false" customHeight="true" outlineLevel="0" collapsed="false">
      <c r="B27" s="9" t="s">
        <v>12</v>
      </c>
      <c r="C27" s="9"/>
      <c r="D27" s="9"/>
      <c r="E27" s="9"/>
      <c r="F27" s="9"/>
    </row>
    <row r="29" customFormat="false" ht="19.5" hidden="false" customHeight="true" outlineLevel="0" collapsed="false">
      <c r="B29" s="10" t="s">
        <v>13</v>
      </c>
      <c r="C29" s="10"/>
      <c r="D29" s="10"/>
      <c r="E29" s="10"/>
      <c r="F29" s="10"/>
    </row>
    <row r="30" customFormat="false" ht="15" hidden="false" customHeight="true" outlineLevel="0" collapsed="false">
      <c r="B30" s="11" t="s">
        <v>14</v>
      </c>
      <c r="C30" s="9" t="s">
        <v>15</v>
      </c>
      <c r="D30" s="9"/>
      <c r="E30" s="9"/>
      <c r="F30" s="9"/>
    </row>
    <row r="31" customFormat="false" ht="15" hidden="false" customHeight="true" outlineLevel="0" collapsed="false">
      <c r="B31" s="11" t="s">
        <v>16</v>
      </c>
      <c r="C31" s="9" t="s">
        <v>17</v>
      </c>
      <c r="D31" s="9"/>
      <c r="E31" s="9"/>
      <c r="F31" s="9"/>
    </row>
    <row r="32" customFormat="false" ht="15" hidden="false" customHeight="true" outlineLevel="0" collapsed="false">
      <c r="B32" s="11" t="s">
        <v>18</v>
      </c>
      <c r="C32" s="9" t="s">
        <v>19</v>
      </c>
      <c r="D32" s="9"/>
      <c r="E32" s="9"/>
      <c r="F32" s="9"/>
    </row>
    <row r="33" customFormat="false" ht="15" hidden="false" customHeight="true" outlineLevel="0" collapsed="false">
      <c r="B33" s="11" t="s">
        <v>20</v>
      </c>
      <c r="C33" s="9" t="s">
        <v>21</v>
      </c>
      <c r="D33" s="9"/>
      <c r="E33" s="9"/>
      <c r="F33" s="9"/>
    </row>
    <row r="34" customFormat="false" ht="15" hidden="false" customHeight="true" outlineLevel="0" collapsed="false">
      <c r="B34" s="11" t="s">
        <v>22</v>
      </c>
      <c r="C34" s="9" t="s">
        <v>23</v>
      </c>
      <c r="D34" s="9"/>
      <c r="E34" s="9"/>
      <c r="F34" s="9"/>
    </row>
    <row r="36" customFormat="false" ht="19.5" hidden="false" customHeight="true" outlineLevel="0" collapsed="false">
      <c r="B36" s="12" t="s">
        <v>24</v>
      </c>
      <c r="C36" s="12"/>
      <c r="D36" s="12"/>
      <c r="E36" s="12"/>
      <c r="F36" s="12"/>
    </row>
    <row r="37" customFormat="false" ht="15.75" hidden="false" customHeight="true" outlineLevel="0" collapsed="false">
      <c r="B37" s="13" t="s">
        <v>25</v>
      </c>
      <c r="C37" s="13"/>
      <c r="D37" s="13"/>
      <c r="E37" s="13"/>
      <c r="F37" s="13"/>
    </row>
    <row r="38" customFormat="false" ht="15.75" hidden="false" customHeight="true" outlineLevel="0" collapsed="false">
      <c r="B38" s="14" t="s">
        <v>26</v>
      </c>
      <c r="C38" s="14"/>
      <c r="D38" s="14"/>
      <c r="E38" s="14"/>
      <c r="F38" s="14"/>
    </row>
    <row r="39" customFormat="false" ht="15.75" hidden="false" customHeight="true" outlineLevel="0" collapsed="false">
      <c r="B39" s="15" t="s">
        <v>27</v>
      </c>
      <c r="C39" s="15"/>
      <c r="D39" s="15"/>
      <c r="E39" s="15"/>
      <c r="F39" s="15"/>
    </row>
    <row r="40" customFormat="false" ht="15.75" hidden="false" customHeight="true" outlineLevel="0" collapsed="false">
      <c r="B40" s="16" t="s">
        <v>28</v>
      </c>
      <c r="C40" s="16"/>
      <c r="D40" s="16"/>
      <c r="E40" s="16"/>
      <c r="F40" s="16"/>
    </row>
    <row r="42" customFormat="false" ht="19.5" hidden="false" customHeight="true" outlineLevel="0" collapsed="false">
      <c r="B42" s="8" t="s">
        <v>29</v>
      </c>
      <c r="C42" s="8"/>
      <c r="D42" s="8"/>
      <c r="E42" s="8"/>
      <c r="F42" s="8"/>
    </row>
    <row r="43" customFormat="false" ht="27.75" hidden="false" customHeight="true" outlineLevel="0" collapsed="false">
      <c r="B43" s="17" t="s">
        <v>30</v>
      </c>
      <c r="C43" s="17"/>
      <c r="D43" s="17"/>
      <c r="E43" s="17"/>
      <c r="F43" s="17"/>
    </row>
    <row r="44" customFormat="false" ht="27.75" hidden="false" customHeight="true" outlineLevel="0" collapsed="false">
      <c r="B44" s="18" t="s">
        <v>31</v>
      </c>
      <c r="C44" s="18"/>
      <c r="D44" s="18"/>
      <c r="E44" s="18"/>
      <c r="F44" s="18"/>
    </row>
    <row r="45" customFormat="false" ht="27.75" hidden="false" customHeight="true" outlineLevel="0" collapsed="false">
      <c r="B45" s="17" t="s">
        <v>32</v>
      </c>
      <c r="C45" s="17"/>
      <c r="D45" s="17"/>
      <c r="E45" s="17"/>
      <c r="F45" s="17"/>
    </row>
    <row r="46" customFormat="false" ht="27.75" hidden="false" customHeight="true" outlineLevel="0" collapsed="false">
      <c r="B46" s="18" t="s">
        <v>33</v>
      </c>
      <c r="C46" s="18"/>
      <c r="D46" s="18"/>
      <c r="E46" s="18"/>
      <c r="F46" s="18"/>
    </row>
    <row r="64" customFormat="false" ht="19.5" hidden="false" customHeight="true" outlineLevel="0" collapsed="false">
      <c r="B64" s="19" t="s">
        <v>34</v>
      </c>
      <c r="C64" s="19"/>
      <c r="D64" s="19"/>
      <c r="E64" s="19"/>
      <c r="F64" s="19"/>
    </row>
    <row r="65" customFormat="false" ht="43.5" hidden="false" customHeight="true" outlineLevel="0" collapsed="false">
      <c r="B65" s="20" t="s">
        <v>35</v>
      </c>
      <c r="C65" s="20"/>
      <c r="D65" s="20"/>
      <c r="E65" s="20"/>
      <c r="F65" s="20"/>
    </row>
  </sheetData>
  <mergeCells count="32">
    <mergeCell ref="B2:F2"/>
    <mergeCell ref="B3:F3"/>
    <mergeCell ref="B4:F4"/>
    <mergeCell ref="B5:F5"/>
    <mergeCell ref="B17:F17"/>
    <mergeCell ref="B18:F18"/>
    <mergeCell ref="B19:F19"/>
    <mergeCell ref="B21:F21"/>
    <mergeCell ref="B22:F22"/>
    <mergeCell ref="B23:F23"/>
    <mergeCell ref="B24:F24"/>
    <mergeCell ref="B25:F25"/>
    <mergeCell ref="B26:F26"/>
    <mergeCell ref="B27:F27"/>
    <mergeCell ref="B29:F29"/>
    <mergeCell ref="C30:F30"/>
    <mergeCell ref="C31:F31"/>
    <mergeCell ref="C32:F32"/>
    <mergeCell ref="C33:F33"/>
    <mergeCell ref="C34:F34"/>
    <mergeCell ref="B36:F36"/>
    <mergeCell ref="B37:F37"/>
    <mergeCell ref="B38:F38"/>
    <mergeCell ref="B39:F39"/>
    <mergeCell ref="B40:F40"/>
    <mergeCell ref="B42:F42"/>
    <mergeCell ref="B43:F43"/>
    <mergeCell ref="B44:F44"/>
    <mergeCell ref="B45:F45"/>
    <mergeCell ref="B46:F46"/>
    <mergeCell ref="B64:F64"/>
    <mergeCell ref="B65:F65"/>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K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5"/>
    <col collapsed="false" customWidth="true" hidden="false" outlineLevel="0" max="2" min="2" style="1" width="9"/>
    <col collapsed="false" customWidth="true" hidden="false" outlineLevel="0" max="3" min="3" style="1" width="30"/>
    <col collapsed="false" customWidth="true" hidden="false" outlineLevel="0" max="4" min="4" style="1" width="15"/>
    <col collapsed="false" customWidth="true" hidden="false" outlineLevel="0" max="5" min="5" style="1" width="9"/>
    <col collapsed="false" customWidth="true" hidden="false" outlineLevel="0" max="6" min="6" style="1" width="30"/>
    <col collapsed="false" customWidth="true" hidden="false" outlineLevel="0" max="7" min="7" style="1" width="15"/>
    <col collapsed="false" customWidth="true" hidden="false" outlineLevel="0" max="11" min="8" style="1" width="8"/>
  </cols>
  <sheetData>
    <row r="2" customFormat="false" ht="30" hidden="false" customHeight="true" outlineLevel="0" collapsed="false">
      <c r="B2" s="21" t="s">
        <v>36</v>
      </c>
      <c r="C2" s="21"/>
      <c r="D2" s="21"/>
      <c r="E2" s="21"/>
      <c r="F2" s="21"/>
      <c r="G2" s="21"/>
      <c r="H2" s="21"/>
      <c r="I2" s="21"/>
      <c r="J2" s="21"/>
      <c r="K2" s="21"/>
    </row>
    <row r="3" customFormat="false" ht="15.75" hidden="false" customHeight="true" outlineLevel="0" collapsed="false">
      <c r="B3" s="22" t="s">
        <v>37</v>
      </c>
      <c r="C3" s="22"/>
      <c r="D3" s="22"/>
      <c r="E3" s="22"/>
      <c r="F3" s="22"/>
      <c r="G3" s="22"/>
      <c r="H3" s="22"/>
      <c r="I3" s="22"/>
      <c r="J3" s="22"/>
      <c r="K3" s="22"/>
    </row>
    <row r="4" customFormat="false" ht="19.5" hidden="false" customHeight="true" outlineLevel="0" collapsed="false">
      <c r="B4" s="8" t="s">
        <v>38</v>
      </c>
      <c r="C4" s="8"/>
      <c r="D4" s="8"/>
      <c r="E4" s="8"/>
      <c r="F4" s="8"/>
      <c r="G4" s="8"/>
      <c r="H4" s="8"/>
      <c r="I4" s="8"/>
      <c r="J4" s="8"/>
      <c r="K4" s="8"/>
    </row>
    <row r="5" customFormat="false" ht="18" hidden="false" customHeight="true" outlineLevel="0" collapsed="false">
      <c r="B5" s="23" t="s">
        <v>39</v>
      </c>
      <c r="C5" s="23"/>
      <c r="D5" s="24" t="s">
        <v>40</v>
      </c>
    </row>
    <row r="6" customFormat="false" ht="18" hidden="false" customHeight="true" outlineLevel="0" collapsed="false">
      <c r="B6" s="23" t="s">
        <v>41</v>
      </c>
      <c r="C6" s="23"/>
      <c r="D6" s="24" t="s">
        <v>42</v>
      </c>
    </row>
    <row r="7" customFormat="false" ht="18" hidden="false" customHeight="true" outlineLevel="0" collapsed="false">
      <c r="B7" s="23" t="s">
        <v>43</v>
      </c>
      <c r="C7" s="23"/>
      <c r="D7" s="24" t="s">
        <v>44</v>
      </c>
    </row>
    <row r="8" customFormat="false" ht="18" hidden="false" customHeight="true" outlineLevel="0" collapsed="false">
      <c r="B8" s="23" t="s">
        <v>45</v>
      </c>
      <c r="C8" s="23"/>
      <c r="D8" s="24" t="s">
        <v>46</v>
      </c>
    </row>
    <row r="10" customFormat="false" ht="19.5" hidden="false" customHeight="true" outlineLevel="0" collapsed="false">
      <c r="B10" s="8" t="s">
        <v>47</v>
      </c>
      <c r="C10" s="8"/>
      <c r="D10" s="8"/>
      <c r="E10" s="8"/>
      <c r="F10" s="8"/>
      <c r="G10" s="8"/>
      <c r="H10" s="8"/>
      <c r="I10" s="8"/>
      <c r="J10" s="8"/>
      <c r="K10" s="8"/>
    </row>
    <row r="11" customFormat="false" ht="18" hidden="false" customHeight="true" outlineLevel="0" collapsed="false">
      <c r="B11" s="23" t="s">
        <v>48</v>
      </c>
      <c r="C11" s="23"/>
      <c r="D11" s="24" t="s">
        <v>49</v>
      </c>
    </row>
    <row r="12" customFormat="false" ht="18" hidden="false" customHeight="true" outlineLevel="0" collapsed="false">
      <c r="B12" s="23" t="s">
        <v>50</v>
      </c>
      <c r="C12" s="23"/>
      <c r="D12" s="24" t="s">
        <v>51</v>
      </c>
    </row>
    <row r="13" customFormat="false" ht="18" hidden="false" customHeight="true" outlineLevel="0" collapsed="false">
      <c r="B13" s="23" t="s">
        <v>52</v>
      </c>
      <c r="C13" s="23"/>
      <c r="D13" s="24" t="s">
        <v>53</v>
      </c>
    </row>
    <row r="15" customFormat="false" ht="19.5" hidden="false" customHeight="true" outlineLevel="0" collapsed="false">
      <c r="B15" s="8" t="s">
        <v>54</v>
      </c>
      <c r="C15" s="8"/>
      <c r="D15" s="8"/>
      <c r="E15" s="8"/>
      <c r="F15" s="8"/>
      <c r="G15" s="8"/>
      <c r="H15" s="8"/>
      <c r="I15" s="8"/>
      <c r="J15" s="8"/>
      <c r="K15" s="8"/>
    </row>
    <row r="16" customFormat="false" ht="18" hidden="false" customHeight="true" outlineLevel="0" collapsed="false">
      <c r="B16" s="23" t="s">
        <v>55</v>
      </c>
      <c r="C16" s="23"/>
      <c r="D16" s="25" t="n">
        <v>10</v>
      </c>
      <c r="E16" s="26" t="s">
        <v>56</v>
      </c>
    </row>
    <row r="17" customFormat="false" ht="18" hidden="false" customHeight="true" outlineLevel="0" collapsed="false">
      <c r="B17" s="23" t="s">
        <v>57</v>
      </c>
      <c r="C17" s="23"/>
      <c r="D17" s="27" t="n">
        <v>3</v>
      </c>
      <c r="E17" s="26" t="s">
        <v>58</v>
      </c>
    </row>
    <row r="18" customFormat="false" ht="18" hidden="false" customHeight="true" outlineLevel="0" collapsed="false">
      <c r="B18" s="23" t="s">
        <v>59</v>
      </c>
      <c r="C18" s="23"/>
      <c r="D18" s="25" t="n">
        <v>1.2</v>
      </c>
      <c r="E18" s="26" t="s">
        <v>56</v>
      </c>
    </row>
    <row r="19" customFormat="false" ht="18" hidden="false" customHeight="true" outlineLevel="0" collapsed="false">
      <c r="B19" s="23" t="s">
        <v>60</v>
      </c>
      <c r="C19" s="23"/>
      <c r="D19" s="25" t="n">
        <v>8.5</v>
      </c>
      <c r="E19" s="26" t="s">
        <v>56</v>
      </c>
    </row>
    <row r="21" customFormat="false" ht="19.5" hidden="false" customHeight="true" outlineLevel="0" collapsed="false">
      <c r="B21" s="8" t="s">
        <v>61</v>
      </c>
      <c r="C21" s="8"/>
      <c r="D21" s="8"/>
      <c r="E21" s="8"/>
      <c r="F21" s="8"/>
      <c r="G21" s="8"/>
      <c r="H21" s="8"/>
      <c r="I21" s="8"/>
      <c r="J21" s="8"/>
      <c r="K21" s="8"/>
    </row>
    <row r="22" customFormat="false" ht="18" hidden="false" customHeight="true" outlineLevel="0" collapsed="false">
      <c r="B22" s="23" t="s">
        <v>62</v>
      </c>
      <c r="C22" s="23"/>
      <c r="D22" s="24" t="s">
        <v>63</v>
      </c>
    </row>
    <row r="23" customFormat="false" ht="18" hidden="false" customHeight="true" outlineLevel="0" collapsed="false">
      <c r="B23" s="23" t="s">
        <v>64</v>
      </c>
      <c r="C23" s="23"/>
      <c r="D23" s="24" t="n">
        <v>10</v>
      </c>
      <c r="E23" s="26" t="s">
        <v>65</v>
      </c>
    </row>
    <row r="24" customFormat="false" ht="18" hidden="false" customHeight="true" outlineLevel="0" collapsed="false">
      <c r="B24" s="23" t="s">
        <v>66</v>
      </c>
      <c r="C24" s="23"/>
      <c r="D24" s="25" t="n">
        <v>1</v>
      </c>
      <c r="E24" s="26" t="s">
        <v>67</v>
      </c>
    </row>
    <row r="26" customFormat="false" ht="19.5" hidden="false" customHeight="true" outlineLevel="0" collapsed="false">
      <c r="B26" s="8" t="s">
        <v>68</v>
      </c>
      <c r="C26" s="8"/>
      <c r="D26" s="8"/>
      <c r="E26" s="8"/>
      <c r="F26" s="8"/>
      <c r="G26" s="8"/>
      <c r="H26" s="8"/>
      <c r="I26" s="8"/>
      <c r="J26" s="8"/>
      <c r="K26" s="8"/>
    </row>
    <row r="27" customFormat="false" ht="18" hidden="false" customHeight="true" outlineLevel="0" collapsed="false">
      <c r="B27" s="23" t="s">
        <v>69</v>
      </c>
      <c r="C27" s="23"/>
      <c r="D27" s="27" t="n">
        <v>1</v>
      </c>
      <c r="E27" s="26" t="s">
        <v>58</v>
      </c>
    </row>
    <row r="28" customFormat="false" ht="18" hidden="false" customHeight="true" outlineLevel="0" collapsed="false">
      <c r="B28" s="23" t="s">
        <v>70</v>
      </c>
      <c r="C28" s="23"/>
      <c r="D28" s="28" t="n">
        <v>6</v>
      </c>
      <c r="E28" s="26" t="s">
        <v>67</v>
      </c>
    </row>
    <row r="29" customFormat="false" ht="18" hidden="false" customHeight="true" outlineLevel="0" collapsed="false">
      <c r="B29" s="23" t="s">
        <v>71</v>
      </c>
      <c r="C29" s="23"/>
      <c r="D29" s="24" t="s">
        <v>72</v>
      </c>
    </row>
    <row r="30" customFormat="false" ht="18" hidden="false" customHeight="true" outlineLevel="0" collapsed="false">
      <c r="B30" s="23" t="s">
        <v>73</v>
      </c>
      <c r="C30" s="23"/>
      <c r="D30" s="25" t="n">
        <v>1.5</v>
      </c>
      <c r="E30" s="26" t="s">
        <v>56</v>
      </c>
    </row>
    <row r="31" customFormat="false" ht="18" hidden="false" customHeight="true" outlineLevel="0" collapsed="false">
      <c r="B31" s="23" t="s">
        <v>74</v>
      </c>
      <c r="C31" s="23"/>
      <c r="D31" s="25" t="n">
        <v>1.75</v>
      </c>
      <c r="E31" s="26" t="s">
        <v>56</v>
      </c>
    </row>
    <row r="33" customFormat="false" ht="19.5" hidden="false" customHeight="true" outlineLevel="0" collapsed="false">
      <c r="B33" s="8" t="s">
        <v>75</v>
      </c>
      <c r="C33" s="8"/>
      <c r="D33" s="8"/>
      <c r="E33" s="8"/>
      <c r="F33" s="8"/>
      <c r="G33" s="8"/>
      <c r="H33" s="8"/>
      <c r="I33" s="8"/>
      <c r="J33" s="8"/>
      <c r="K33" s="8"/>
    </row>
    <row r="34" customFormat="false" ht="18" hidden="false" customHeight="true" outlineLevel="0" collapsed="false">
      <c r="B34" s="23" t="s">
        <v>76</v>
      </c>
      <c r="C34" s="23"/>
      <c r="D34" s="24" t="s">
        <v>77</v>
      </c>
    </row>
    <row r="35" customFormat="false" ht="18" hidden="false" customHeight="true" outlineLevel="0" collapsed="false">
      <c r="B35" s="23" t="s">
        <v>78</v>
      </c>
      <c r="C35" s="23"/>
      <c r="D35" s="28" t="n">
        <v>12</v>
      </c>
      <c r="E35" s="26" t="s">
        <v>67</v>
      </c>
    </row>
    <row r="36" customFormat="false" ht="18" hidden="false" customHeight="true" outlineLevel="0" collapsed="false">
      <c r="B36" s="23" t="s">
        <v>79</v>
      </c>
      <c r="C36" s="23"/>
      <c r="D36" s="25" t="n">
        <v>0.5</v>
      </c>
      <c r="E36" s="26" t="s">
        <v>56</v>
      </c>
    </row>
    <row r="38" customFormat="false" ht="19.5" hidden="false" customHeight="true" outlineLevel="0" collapsed="false">
      <c r="B38" s="8" t="s">
        <v>80</v>
      </c>
      <c r="C38" s="8"/>
      <c r="D38" s="8"/>
      <c r="E38" s="8"/>
      <c r="F38" s="8"/>
      <c r="G38" s="8"/>
      <c r="H38" s="8"/>
      <c r="I38" s="8"/>
      <c r="J38" s="8"/>
      <c r="K38" s="8"/>
    </row>
    <row r="39" customFormat="false" ht="18" hidden="false" customHeight="true" outlineLevel="0" collapsed="false">
      <c r="B39" s="23" t="s">
        <v>81</v>
      </c>
      <c r="C39" s="23"/>
      <c r="D39" s="24" t="s">
        <v>82</v>
      </c>
    </row>
    <row r="40" customFormat="false" ht="18" hidden="false" customHeight="true" outlineLevel="0" collapsed="false">
      <c r="B40" s="23" t="s">
        <v>83</v>
      </c>
      <c r="C40" s="23"/>
      <c r="D40" s="25" t="n">
        <v>1.4</v>
      </c>
      <c r="E40" s="26" t="s">
        <v>84</v>
      </c>
    </row>
    <row r="41" customFormat="false" ht="18" hidden="false" customHeight="true" outlineLevel="0" collapsed="false">
      <c r="B41" s="23" t="s">
        <v>85</v>
      </c>
      <c r="C41" s="23"/>
      <c r="D41" s="27" t="n">
        <v>4</v>
      </c>
      <c r="E41" s="26" t="s">
        <v>58</v>
      </c>
    </row>
    <row r="42" customFormat="false" ht="18" hidden="false" customHeight="true" outlineLevel="0" collapsed="false">
      <c r="B42" s="23" t="s">
        <v>86</v>
      </c>
      <c r="C42" s="23"/>
      <c r="D42" s="25" t="n">
        <v>0.18</v>
      </c>
      <c r="E42" s="26" t="s">
        <v>56</v>
      </c>
    </row>
    <row r="45" customFormat="false" ht="15" hidden="false" customHeight="true" outlineLevel="0" collapsed="false">
      <c r="B45" s="29" t="s">
        <v>87</v>
      </c>
      <c r="C45" s="29"/>
      <c r="D45" s="29"/>
      <c r="E45" s="29"/>
      <c r="F45" s="29"/>
      <c r="G45" s="29"/>
      <c r="H45" s="29"/>
      <c r="I45" s="29"/>
      <c r="J45" s="29"/>
      <c r="K45" s="29"/>
    </row>
  </sheetData>
  <mergeCells count="36">
    <mergeCell ref="B2:K2"/>
    <mergeCell ref="B3:K3"/>
    <mergeCell ref="B4:K4"/>
    <mergeCell ref="B5:C5"/>
    <mergeCell ref="B6:C6"/>
    <mergeCell ref="B7:C7"/>
    <mergeCell ref="B8:C8"/>
    <mergeCell ref="B10:K10"/>
    <mergeCell ref="B11:C11"/>
    <mergeCell ref="B12:C12"/>
    <mergeCell ref="B13:C13"/>
    <mergeCell ref="B15:K15"/>
    <mergeCell ref="B16:C16"/>
    <mergeCell ref="B17:C17"/>
    <mergeCell ref="B18:C18"/>
    <mergeCell ref="B19:C19"/>
    <mergeCell ref="B21:K21"/>
    <mergeCell ref="B22:C22"/>
    <mergeCell ref="B23:C23"/>
    <mergeCell ref="B24:C24"/>
    <mergeCell ref="B26:K26"/>
    <mergeCell ref="B27:C27"/>
    <mergeCell ref="B28:C28"/>
    <mergeCell ref="B29:C29"/>
    <mergeCell ref="B30:C30"/>
    <mergeCell ref="B31:C31"/>
    <mergeCell ref="B33:K33"/>
    <mergeCell ref="B34:C34"/>
    <mergeCell ref="B35:C35"/>
    <mergeCell ref="B36:C36"/>
    <mergeCell ref="B38:K38"/>
    <mergeCell ref="B39:C39"/>
    <mergeCell ref="B40:C40"/>
    <mergeCell ref="B41:C41"/>
    <mergeCell ref="B42:C42"/>
    <mergeCell ref="B45:K45"/>
  </mergeCells>
  <dataValidations count="8">
    <dataValidation allowBlank="false" errorStyle="stop" operator="between" showDropDown="false" showErrorMessage="false" showInputMessage="false" sqref="D11" type="list">
      <formula1>Cenarios</formula1>
      <formula2>0</formula2>
    </dataValidation>
    <dataValidation allowBlank="true" errorStyle="stop" operator="between" showDropDown="false" showErrorMessage="false" showInputMessage="false" sqref="D12" type="list">
      <formula1>INDIRECT($D$10)</formula1>
      <formula2>0</formula2>
    </dataValidation>
    <dataValidation allowBlank="false" errorStyle="stop" operator="between" showDropDown="false" showErrorMessage="false" showInputMessage="false" sqref="D22" type="list">
      <formula1>MateriaisLst</formula1>
      <formula2>0</formula2>
    </dataValidation>
    <dataValidation allowBlank="false" errorStyle="stop" operator="between" showDropDown="false" showErrorMessage="false" showInputMessage="false" sqref="D23" type="list">
      <formula1>DiamLst</formula1>
      <formula2>0</formula2>
    </dataValidation>
    <dataValidation allowBlank="false" errorStyle="stop" operator="between" showDropDown="false" showErrorMessage="false" showInputMessage="false" sqref="D34" type="list">
      <formula1>SimNao</formula1>
      <formula2>0</formula2>
    </dataValidation>
    <dataValidation allowBlank="false" errorStyle="stop" operator="between" showDropDown="false" showErrorMessage="false" showInputMessage="false" sqref="D29" type="list">
      <formula1>Talabarte</formula1>
      <formula2>0</formula2>
    </dataValidation>
    <dataValidation allowBlank="false" errorStyle="stop" operator="between" showDropDown="false" showErrorMessage="false" showInputMessage="false" sqref="D39" type="list">
      <formula1>PerfisLst</formula1>
      <formula2>0</formula2>
    </dataValidation>
    <dataValidation allowBlank="true" errorStyle="stop" operator="between" showDropDown="false" showErrorMessage="false" showInputMessage="false" sqref="D13" type="list">
      <formula1>"Padrão (C2-C3),Industrial/Litorâneo (C4-C5),Quimicamente agressivo (C5)"</formula1>
      <formula2>0</formula2>
    </dataValidation>
  </dataValidation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J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5"/>
    <col collapsed="false" customWidth="true" hidden="false" outlineLevel="0" max="2" min="2" style="1" width="10"/>
    <col collapsed="false" customWidth="true" hidden="false" outlineLevel="0" max="3" min="3" style="1" width="27"/>
    <col collapsed="false" customWidth="true" hidden="false" outlineLevel="0" max="5" min="4" style="1" width="10"/>
    <col collapsed="false" customWidth="true" hidden="false" outlineLevel="0" max="6" min="6" style="1" width="15"/>
    <col collapsed="false" customWidth="true" hidden="false" outlineLevel="0" max="7" min="7" style="1" width="12"/>
    <col collapsed="false" customWidth="true" hidden="false" outlineLevel="0" max="8" min="8" style="1" width="22"/>
    <col collapsed="false" customWidth="true" hidden="false" outlineLevel="0" max="10" min="9" style="1" width="12"/>
    <col collapsed="false" customWidth="true" hidden="false" outlineLevel="0" max="18" min="12" style="1" width="12"/>
  </cols>
  <sheetData>
    <row r="2" customFormat="false" ht="30" hidden="false" customHeight="true" outlineLevel="0" collapsed="false">
      <c r="B2" s="21" t="s">
        <v>88</v>
      </c>
      <c r="C2" s="21"/>
      <c r="D2" s="21"/>
      <c r="E2" s="21"/>
      <c r="F2" s="21"/>
      <c r="G2" s="21"/>
      <c r="H2" s="21"/>
      <c r="I2" s="21"/>
      <c r="J2" s="21"/>
    </row>
    <row r="3" customFormat="false" ht="15.75" hidden="false" customHeight="true" outlineLevel="0" collapsed="false">
      <c r="B3" s="22" t="s">
        <v>89</v>
      </c>
      <c r="C3" s="22"/>
      <c r="D3" s="22"/>
      <c r="E3" s="22"/>
      <c r="F3" s="22"/>
      <c r="G3" s="22"/>
      <c r="H3" s="22"/>
      <c r="I3" s="22"/>
      <c r="J3" s="22"/>
    </row>
    <row r="4" customFormat="false" ht="25.5" hidden="false" customHeight="true" outlineLevel="0" collapsed="false">
      <c r="B4" s="30" t="s">
        <v>90</v>
      </c>
      <c r="C4" s="30"/>
      <c r="D4" s="30"/>
      <c r="E4" s="30"/>
      <c r="F4" s="31" t="str">
        <f aca="false">IF(AND(F_ok,FS_ok,ZLQ_ok,POST_ok),"APROVADO","REPROVADO — revisar dados")</f>
        <v>APROVADO</v>
      </c>
      <c r="G4" s="31"/>
      <c r="H4" s="31"/>
      <c r="I4" s="31"/>
      <c r="J4" s="31"/>
    </row>
    <row r="6" customFormat="false" ht="19.5" hidden="false" customHeight="true" outlineLevel="0" collapsed="false">
      <c r="B6" s="8" t="s">
        <v>91</v>
      </c>
      <c r="C6" s="8"/>
      <c r="D6" s="8"/>
      <c r="E6" s="8"/>
      <c r="F6" s="8"/>
      <c r="G6" s="8"/>
      <c r="H6" s="8"/>
      <c r="I6" s="8"/>
      <c r="J6" s="8"/>
    </row>
    <row r="7" customFormat="false" ht="15.75" hidden="false" customHeight="true" outlineLevel="0" collapsed="false">
      <c r="B7" s="32" t="s">
        <v>92</v>
      </c>
      <c r="C7" s="33" t="s">
        <v>93</v>
      </c>
      <c r="D7" s="33"/>
      <c r="E7" s="33"/>
      <c r="F7" s="34" t="n">
        <f aca="false">'Entrada de Dados'!$D$16</f>
        <v>10</v>
      </c>
      <c r="G7" s="26" t="s">
        <v>56</v>
      </c>
    </row>
    <row r="8" customFormat="false" ht="15.75" hidden="false" customHeight="true" outlineLevel="0" collapsed="false">
      <c r="B8" s="32" t="s">
        <v>84</v>
      </c>
      <c r="C8" s="33" t="s">
        <v>62</v>
      </c>
      <c r="D8" s="33"/>
      <c r="E8" s="33"/>
      <c r="F8" s="35" t="str">
        <f aca="false">'Entrada de Dados'!$D$22</f>
        <v>Inox AISI 316</v>
      </c>
    </row>
    <row r="9" customFormat="false" ht="15.75" hidden="false" customHeight="true" outlineLevel="0" collapsed="false">
      <c r="B9" s="32" t="s">
        <v>94</v>
      </c>
      <c r="C9" s="33" t="s">
        <v>95</v>
      </c>
      <c r="D9" s="33"/>
      <c r="E9" s="33"/>
      <c r="F9" s="36" t="n">
        <f aca="false">'Entrada de Dados'!$D$23</f>
        <v>10</v>
      </c>
      <c r="G9" s="26" t="s">
        <v>65</v>
      </c>
    </row>
    <row r="10" customFormat="false" ht="15.75" hidden="false" customHeight="true" outlineLevel="0" collapsed="false">
      <c r="B10" s="32" t="s">
        <v>96</v>
      </c>
      <c r="C10" s="33" t="s">
        <v>97</v>
      </c>
      <c r="D10" s="33"/>
      <c r="E10" s="33"/>
      <c r="F10" s="37" t="n">
        <f aca="false">VLOOKUP('Entrada de Dados'!$D$22&amp;"|"&amp;'Entrada de Dados'!$D$23,TabCabos,4,FALSE())</f>
        <v>120000</v>
      </c>
      <c r="G10" s="26" t="s">
        <v>98</v>
      </c>
    </row>
    <row r="11" customFormat="false" ht="15.75" hidden="false" customHeight="true" outlineLevel="0" collapsed="false">
      <c r="B11" s="32" t="s">
        <v>99</v>
      </c>
      <c r="C11" s="33" t="s">
        <v>100</v>
      </c>
      <c r="D11" s="33"/>
      <c r="E11" s="33"/>
      <c r="F11" s="38" t="n">
        <f aca="false">VLOOKUP('Entrada de Dados'!$D$22&amp;"|"&amp;'Entrada de Dados'!$D$23,TabCabos,5,FALSE())</f>
        <v>47</v>
      </c>
      <c r="G11" s="26" t="s">
        <v>101</v>
      </c>
    </row>
    <row r="12" customFormat="false" ht="15.75" hidden="false" customHeight="true" outlineLevel="0" collapsed="false">
      <c r="B12" s="32" t="s">
        <v>102</v>
      </c>
      <c r="C12" s="33" t="s">
        <v>103</v>
      </c>
      <c r="D12" s="33"/>
      <c r="E12" s="33"/>
      <c r="F12" s="39" t="n">
        <f aca="false">VLOOKUP('Entrada de Dados'!$D$22&amp;"|"&amp;'Entrada de Dados'!$D$23,TabCabos,6,FALSE())</f>
        <v>63</v>
      </c>
      <c r="G12" s="26" t="s">
        <v>67</v>
      </c>
    </row>
    <row r="13" customFormat="false" ht="15.75" hidden="false" customHeight="true" outlineLevel="0" collapsed="false">
      <c r="B13" s="32" t="s">
        <v>104</v>
      </c>
      <c r="C13" s="33" t="s">
        <v>105</v>
      </c>
      <c r="D13" s="33"/>
      <c r="E13" s="33"/>
      <c r="F13" s="34" t="n">
        <f aca="false">'Entrada de Dados'!$D$24</f>
        <v>1</v>
      </c>
      <c r="G13" s="26" t="s">
        <v>67</v>
      </c>
    </row>
    <row r="14" customFormat="false" ht="15.75" hidden="false" customHeight="true" outlineLevel="0" collapsed="false">
      <c r="B14" s="32" t="s">
        <v>106</v>
      </c>
      <c r="C14" s="33" t="s">
        <v>107</v>
      </c>
      <c r="D14" s="33"/>
      <c r="E14" s="33"/>
      <c r="F14" s="36" t="n">
        <f aca="false">'Entrada de Dados'!$D$27</f>
        <v>1</v>
      </c>
      <c r="G14" s="26" t="s">
        <v>58</v>
      </c>
    </row>
    <row r="15" customFormat="false" ht="15.75" hidden="false" customHeight="true" outlineLevel="0" collapsed="false">
      <c r="B15" s="32" t="s">
        <v>108</v>
      </c>
      <c r="C15" s="33" t="s">
        <v>109</v>
      </c>
      <c r="D15" s="33"/>
      <c r="E15" s="33"/>
      <c r="F15" s="40" t="n">
        <f aca="false">'Entrada de Dados'!$D$28</f>
        <v>6</v>
      </c>
      <c r="G15" s="26" t="s">
        <v>67</v>
      </c>
    </row>
    <row r="16" customFormat="false" ht="15.75" hidden="false" customHeight="true" outlineLevel="0" collapsed="false">
      <c r="B16" s="32" t="s">
        <v>110</v>
      </c>
      <c r="C16" s="33" t="s">
        <v>111</v>
      </c>
      <c r="D16" s="33"/>
      <c r="E16" s="33"/>
      <c r="F16" s="34" t="n">
        <f aca="false">'Entrada de Dados'!$D$18</f>
        <v>1.2</v>
      </c>
      <c r="G16" s="26" t="s">
        <v>56</v>
      </c>
    </row>
    <row r="17" customFormat="false" ht="15.75" hidden="false" customHeight="true" outlineLevel="0" collapsed="false">
      <c r="B17" s="32" t="s">
        <v>112</v>
      </c>
      <c r="C17" s="33" t="s">
        <v>113</v>
      </c>
      <c r="D17" s="33"/>
      <c r="E17" s="33"/>
      <c r="F17" s="37" t="n">
        <f aca="false">$F$10*$F$11/1000</f>
        <v>5640</v>
      </c>
      <c r="G17" s="26" t="s">
        <v>67</v>
      </c>
    </row>
    <row r="18" customFormat="false" ht="15.75" hidden="false" customHeight="true" outlineLevel="0" collapsed="false">
      <c r="B18" s="32" t="s">
        <v>114</v>
      </c>
      <c r="C18" s="33" t="s">
        <v>115</v>
      </c>
      <c r="D18" s="33"/>
      <c r="E18" s="33"/>
      <c r="F18" s="41" t="n">
        <f aca="false">$F$7/2</f>
        <v>5</v>
      </c>
      <c r="G18" s="26" t="s">
        <v>56</v>
      </c>
    </row>
    <row r="20" customFormat="false" ht="19.5" hidden="false" customHeight="true" outlineLevel="0" collapsed="false">
      <c r="B20" s="8" t="s">
        <v>116</v>
      </c>
      <c r="C20" s="8"/>
      <c r="D20" s="8"/>
      <c r="E20" s="8"/>
      <c r="F20" s="8"/>
      <c r="G20" s="8"/>
      <c r="H20" s="8"/>
      <c r="I20" s="8"/>
      <c r="J20" s="8"/>
    </row>
    <row r="21" customFormat="false" ht="15.75" hidden="false" customHeight="true" outlineLevel="0" collapsed="false">
      <c r="B21" s="32" t="s">
        <v>108</v>
      </c>
      <c r="C21" s="33" t="s">
        <v>117</v>
      </c>
      <c r="D21" s="33"/>
      <c r="E21" s="33"/>
      <c r="F21" s="39" t="n">
        <f aca="false">$F$15</f>
        <v>6</v>
      </c>
      <c r="G21" s="26" t="s">
        <v>67</v>
      </c>
      <c r="H21" s="42" t="str">
        <f aca="false">IF($F$15&lt;=6,"OK ≤ 6 kN","REPROVA &gt; 6 kN")</f>
        <v>OK ≤ 6 kN</v>
      </c>
      <c r="I21" s="42"/>
      <c r="J21" s="42"/>
    </row>
    <row r="22" customFormat="false" ht="15.75" hidden="false" customHeight="true" outlineLevel="0" collapsed="false">
      <c r="B22" s="32" t="s">
        <v>118</v>
      </c>
      <c r="C22" s="43" t="s">
        <v>119</v>
      </c>
      <c r="D22" s="43"/>
      <c r="E22" s="43"/>
      <c r="F22" s="44" t="n">
        <f aca="false">$F$14*$F$15</f>
        <v>6</v>
      </c>
      <c r="G22" s="26" t="s">
        <v>67</v>
      </c>
    </row>
    <row r="24" customFormat="false" ht="19.5" hidden="false" customHeight="true" outlineLevel="0" collapsed="false">
      <c r="B24" s="8" t="s">
        <v>120</v>
      </c>
      <c r="C24" s="8"/>
      <c r="D24" s="8"/>
      <c r="E24" s="8"/>
      <c r="F24" s="8"/>
      <c r="G24" s="8"/>
      <c r="H24" s="8"/>
      <c r="I24" s="8"/>
      <c r="J24" s="8"/>
    </row>
    <row r="25" customFormat="false" ht="15" hidden="false" customHeight="true" outlineLevel="0" collapsed="false">
      <c r="C25" s="45" t="s">
        <v>121</v>
      </c>
      <c r="D25" s="45"/>
      <c r="E25" s="45"/>
      <c r="F25" s="45"/>
      <c r="G25" s="45"/>
      <c r="H25" s="45"/>
      <c r="I25" s="45"/>
      <c r="J25" s="45"/>
    </row>
    <row r="26" customFormat="false" ht="15" hidden="false" customHeight="true" outlineLevel="0" collapsed="false">
      <c r="C26" s="46" t="s">
        <v>122</v>
      </c>
      <c r="D26" s="46" t="s">
        <v>123</v>
      </c>
      <c r="E26" s="46" t="s">
        <v>124</v>
      </c>
      <c r="F26" s="46" t="s">
        <v>125</v>
      </c>
      <c r="G26" s="46" t="s">
        <v>126</v>
      </c>
      <c r="H26" s="46" t="s">
        <v>127</v>
      </c>
    </row>
    <row r="27" customFormat="false" ht="15" hidden="false" customHeight="true" outlineLevel="0" collapsed="false">
      <c r="C27" s="47" t="n">
        <v>0</v>
      </c>
      <c r="D27" s="47" t="n">
        <v>0.3</v>
      </c>
      <c r="E27" s="48" t="n">
        <f aca="false">SQRT($F$18^2+$D$27^2)</f>
        <v>5.00899191454728</v>
      </c>
      <c r="F27" s="48" t="n">
        <f aca="false">$F$22*SQRT($F$18^2+$D$27^2)/(2*$D$27)-$F$13-(2*$F$17/$F$7)*(SQRT($F$18^2+$D$27^2)-$F$18)</f>
        <v>38.9470395361443</v>
      </c>
      <c r="G27" s="49" t="n">
        <f aca="false">-$F$22*$F$18^2/(2*SQRT($F$18^2+$D$27^2)*$D$27^2)-2*$F$17*$D$27/($F$7*SQRT($F$18^2+$D$27^2))</f>
        <v>-233.92597818542</v>
      </c>
      <c r="H27" s="48" t="n">
        <f aca="false">$D$27-($F$22*SQRT($F$18^2+$D$27^2)/(2*$D$27)-$F$13-(2*$F$17/$F$7)*(SQRT($F$18^2+$D$27^2)-$F$18))/(-$F$22*$F$18^2/(2*SQRT($F$18^2+$D$27^2)*$D$27^2)-2*$F$17*$D$27/($F$7*SQRT($F$18^2+$D$27^2)))</f>
        <v>0.466493007054023</v>
      </c>
    </row>
    <row r="28" customFormat="false" ht="15" hidden="false" customHeight="true" outlineLevel="0" collapsed="false">
      <c r="C28" s="47" t="n">
        <v>1</v>
      </c>
      <c r="D28" s="48" t="n">
        <f aca="false">$H$27</f>
        <v>0.466493007054023</v>
      </c>
      <c r="E28" s="48" t="n">
        <f aca="false">SQRT($F$18^2+$D$28^2)</f>
        <v>5.02171442095529</v>
      </c>
      <c r="F28" s="48" t="n">
        <f aca="false">$F$22*SQRT($F$18^2+$D$28^2)/(2*$D$28)-$F$13-(2*$F$17/$F$7)*(SQRT($F$18^2+$D$28^2)-$F$18)</f>
        <v>6.8006006786896</v>
      </c>
      <c r="G28" s="49" t="n">
        <f aca="false">-$F$22*$F$18^2/(2*SQRT($F$18^2+$D$28^2)*$D$28^2)-2*$F$17*$D$28/($F$7*SQRT($F$18^2+$D$28^2))</f>
        <v>-173.416536600012</v>
      </c>
      <c r="H28" s="48" t="n">
        <f aca="false">$D$28-($F$22*SQRT($F$18^2+$D$28^2)/(2*$D$28)-$F$13-(2*$F$17/$F$7)*(SQRT($F$18^2+$D$28^2)-$F$18))/(-$F$22*$F$18^2/(2*SQRT($F$18^2+$D$28^2)*$D$28^2)-2*$F$17*$D$28/($F$7*SQRT($F$18^2+$D$28^2)))</f>
        <v>0.505708417602644</v>
      </c>
    </row>
    <row r="29" customFormat="false" ht="15" hidden="false" customHeight="true" outlineLevel="0" collapsed="false">
      <c r="C29" s="47" t="n">
        <v>2</v>
      </c>
      <c r="D29" s="48" t="n">
        <f aca="false">$H$28</f>
        <v>0.505708417602644</v>
      </c>
      <c r="E29" s="48" t="n">
        <f aca="false">SQRT($F$18^2+$D$29^2)</f>
        <v>5.0255090293058</v>
      </c>
      <c r="F29" s="48" t="n">
        <f aca="false">$F$22*SQRT($F$18^2+$D$29^2)/(2*$D$29)-$F$13-(2*$F$17/$F$7)*(SQRT($F$18^2+$D$29^2)-$F$18)</f>
        <v>0.0385025771422498</v>
      </c>
      <c r="G29" s="49" t="n">
        <f aca="false">-$F$22*$F$18^2/(2*SQRT($F$18^2+$D$29^2)*$D$29^2)-2*$F$17*$D$29/($F$7*SQRT($F$18^2+$D$29^2))</f>
        <v>-171.864091380283</v>
      </c>
      <c r="H29" s="48" t="n">
        <f aca="false">$D$29-($F$22*SQRT($F$18^2+$D$29^2)/(2*$D$29)-$F$13-(2*$F$17/$F$7)*(SQRT($F$18^2+$D$29^2)-$F$18))/(-$F$22*$F$18^2/(2*SQRT($F$18^2+$D$29^2)*$D$29^2)-2*$F$17*$D$29/($F$7*SQRT($F$18^2+$D$29^2)))</f>
        <v>0.505932446815687</v>
      </c>
    </row>
    <row r="30" customFormat="false" ht="15" hidden="false" customHeight="true" outlineLevel="0" collapsed="false">
      <c r="C30" s="47" t="n">
        <v>3</v>
      </c>
      <c r="D30" s="48" t="n">
        <f aca="false">$H$29</f>
        <v>0.505932446815687</v>
      </c>
      <c r="E30" s="48" t="n">
        <f aca="false">SQRT($F$18^2+$D$30^2)</f>
        <v>5.02553157792695</v>
      </c>
      <c r="F30" s="48" t="n">
        <f aca="false">$F$22*SQRT($F$18^2+$D$30^2)/(2*$D$30)-$F$13-(2*$F$17/$F$7)*(SQRT($F$18^2+$D$30^2)-$F$18)</f>
        <v>2.42697868912956E-007</v>
      </c>
      <c r="G30" s="49" t="n">
        <f aca="false">-$F$22*$F$18^2/(2*SQRT($F$18^2+$D$30^2)*$D$30^2)-2*$F$17*$D$30/($F$7*SQRT($F$18^2+$D$30^2))</f>
        <v>-171.861936101716</v>
      </c>
      <c r="H30" s="48" t="n">
        <f aca="false">$D$30-($F$22*SQRT($F$18^2+$D$30^2)/(2*$D$30)-$F$13-(2*$F$17/$F$7)*(SQRT($F$18^2+$D$30^2)-$F$18))/(-$F$22*$F$18^2/(2*SQRT($F$18^2+$D$30^2)*$D$30^2)-2*$F$17*$D$30/($F$7*SQRT($F$18^2+$D$30^2)))</f>
        <v>0.505932448227855</v>
      </c>
    </row>
    <row r="31" customFormat="false" ht="15" hidden="false" customHeight="true" outlineLevel="0" collapsed="false">
      <c r="C31" s="47" t="n">
        <v>4</v>
      </c>
      <c r="D31" s="48" t="n">
        <f aca="false">$H$30</f>
        <v>0.505932448227855</v>
      </c>
      <c r="E31" s="48" t="n">
        <f aca="false">SQRT($F$18^2+$D$31^2)</f>
        <v>5.02553157806911</v>
      </c>
      <c r="F31" s="48" t="n">
        <f aca="false">$F$22*SQRT($F$18^2+$D$31^2)/(2*$D$31)-$F$13-(2*$F$17/$F$7)*(SQRT($F$18^2+$D$31^2)-$F$18)</f>
        <v>0</v>
      </c>
      <c r="G31" s="49" t="n">
        <f aca="false">-$F$22*$F$18^2/(2*SQRT($F$18^2+$D$31^2)*$D$31^2)-2*$F$17*$D$31/($F$7*SQRT($F$18^2+$D$31^2))</f>
        <v>-171.861936088346</v>
      </c>
      <c r="H31" s="48" t="n">
        <f aca="false">$D$31-($F$22*SQRT($F$18^2+$D$31^2)/(2*$D$31)-$F$13-(2*$F$17/$F$7)*(SQRT($F$18^2+$D$31^2)-$F$18))/(-$F$22*$F$18^2/(2*SQRT($F$18^2+$D$31^2)*$D$31^2)-2*$F$17*$D$31/($F$7*SQRT($F$18^2+$D$31^2)))</f>
        <v>0.505932448227855</v>
      </c>
    </row>
    <row r="32" customFormat="false" ht="15" hidden="false" customHeight="true" outlineLevel="0" collapsed="false">
      <c r="C32" s="47" t="n">
        <v>5</v>
      </c>
      <c r="D32" s="48" t="n">
        <f aca="false">$H$31</f>
        <v>0.505932448227855</v>
      </c>
      <c r="E32" s="48" t="n">
        <f aca="false">SQRT($F$18^2+$D$32^2)</f>
        <v>5.02553157806911</v>
      </c>
      <c r="F32" s="48" t="n">
        <f aca="false">$F$22*SQRT($F$18^2+$D$32^2)/(2*$D$32)-$F$13-(2*$F$17/$F$7)*(SQRT($F$18^2+$D$32^2)-$F$18)</f>
        <v>0</v>
      </c>
      <c r="G32" s="49" t="n">
        <f aca="false">-$F$22*$F$18^2/(2*SQRT($F$18^2+$D$32^2)*$D$32^2)-2*$F$17*$D$32/($F$7*SQRT($F$18^2+$D$32^2))</f>
        <v>-171.861936088346</v>
      </c>
      <c r="H32" s="48" t="n">
        <f aca="false">$D$32-($F$22*SQRT($F$18^2+$D$32^2)/(2*$D$32)-$F$13-(2*$F$17/$F$7)*(SQRT($F$18^2+$D$32^2)-$F$18))/(-$F$22*$F$18^2/(2*SQRT($F$18^2+$D$32^2)*$D$32^2)-2*$F$17*$D$32/($F$7*SQRT($F$18^2+$D$32^2)))</f>
        <v>0.505932448227855</v>
      </c>
    </row>
    <row r="33" customFormat="false" ht="15" hidden="false" customHeight="true" outlineLevel="0" collapsed="false">
      <c r="C33" s="47" t="n">
        <v>6</v>
      </c>
      <c r="D33" s="48" t="n">
        <f aca="false">$H$32</f>
        <v>0.505932448227855</v>
      </c>
      <c r="E33" s="48" t="n">
        <f aca="false">SQRT($F$18^2+$D$33^2)</f>
        <v>5.02553157806911</v>
      </c>
      <c r="F33" s="48" t="n">
        <f aca="false">$F$22*SQRT($F$18^2+$D$33^2)/(2*$D$33)-$F$13-(2*$F$17/$F$7)*(SQRT($F$18^2+$D$33^2)-$F$18)</f>
        <v>0</v>
      </c>
      <c r="G33" s="49" t="n">
        <f aca="false">-$F$22*$F$18^2/(2*SQRT($F$18^2+$D$33^2)*$D$33^2)-2*$F$17*$D$33/($F$7*SQRT($F$18^2+$D$33^2))</f>
        <v>-171.861936088346</v>
      </c>
      <c r="H33" s="48" t="n">
        <f aca="false">$D$33-($F$22*SQRT($F$18^2+$D$33^2)/(2*$D$33)-$F$13-(2*$F$17/$F$7)*(SQRT($F$18^2+$D$33^2)-$F$18))/(-$F$22*$F$18^2/(2*SQRT($F$18^2+$D$33^2)*$D$33^2)-2*$F$17*$D$33/($F$7*SQRT($F$18^2+$D$33^2)))</f>
        <v>0.505932448227855</v>
      </c>
    </row>
    <row r="34" customFormat="false" ht="15" hidden="false" customHeight="true" outlineLevel="0" collapsed="false">
      <c r="C34" s="47" t="n">
        <v>7</v>
      </c>
      <c r="D34" s="48" t="n">
        <f aca="false">$H$33</f>
        <v>0.505932448227855</v>
      </c>
      <c r="E34" s="48" t="n">
        <f aca="false">SQRT($F$18^2+$D$34^2)</f>
        <v>5.02553157806911</v>
      </c>
      <c r="F34" s="48" t="n">
        <f aca="false">$F$22*SQRT($F$18^2+$D$34^2)/(2*$D$34)-$F$13-(2*$F$17/$F$7)*(SQRT($F$18^2+$D$34^2)-$F$18)</f>
        <v>0</v>
      </c>
      <c r="G34" s="49" t="n">
        <f aca="false">-$F$22*$F$18^2/(2*SQRT($F$18^2+$D$34^2)*$D$34^2)-2*$F$17*$D$34/($F$7*SQRT($F$18^2+$D$34^2))</f>
        <v>-171.861936088346</v>
      </c>
      <c r="H34" s="48" t="n">
        <f aca="false">$D$34-($F$22*SQRT($F$18^2+$D$34^2)/(2*$D$34)-$F$13-(2*$F$17/$F$7)*(SQRT($F$18^2+$D$34^2)-$F$18))/(-$F$22*$F$18^2/(2*SQRT($F$18^2+$D$34^2)*$D$34^2)-2*$F$17*$D$34/($F$7*SQRT($F$18^2+$D$34^2)))</f>
        <v>0.505932448227855</v>
      </c>
    </row>
    <row r="36" customFormat="false" ht="15.75" hidden="false" customHeight="true" outlineLevel="0" collapsed="false">
      <c r="B36" s="32" t="s">
        <v>128</v>
      </c>
      <c r="C36" s="33" t="s">
        <v>129</v>
      </c>
      <c r="D36" s="33"/>
      <c r="E36" s="33"/>
      <c r="F36" s="50" t="n">
        <f aca="false">$H$34</f>
        <v>0.505932448227855</v>
      </c>
      <c r="G36" s="26" t="s">
        <v>56</v>
      </c>
    </row>
    <row r="37" customFormat="false" ht="15.75" hidden="false" customHeight="true" outlineLevel="0" collapsed="false">
      <c r="B37" s="32" t="s">
        <v>130</v>
      </c>
      <c r="C37" s="33" t="s">
        <v>131</v>
      </c>
      <c r="D37" s="33"/>
      <c r="E37" s="33"/>
      <c r="F37" s="41" t="n">
        <f aca="false">$F$22*SQRT($F$18^2+$H$34^2)/(2*$H$34)</f>
        <v>29.79962006196</v>
      </c>
      <c r="G37" s="26" t="s">
        <v>67</v>
      </c>
    </row>
    <row r="38" customFormat="false" ht="15.75" hidden="false" customHeight="true" outlineLevel="0" collapsed="false">
      <c r="B38" s="32" t="s">
        <v>132</v>
      </c>
      <c r="C38" s="33" t="s">
        <v>133</v>
      </c>
      <c r="D38" s="33"/>
      <c r="E38" s="33"/>
      <c r="F38" s="51" t="str">
        <f aca="false">IF(AND('Entrada de Dados'!$D$34="Sim",$F$37&gt;'Entrada de Dados'!$D$35),"SIM — limita T","NÃO")</f>
        <v>SIM — limita T</v>
      </c>
    </row>
    <row r="39" customFormat="false" ht="15.75" hidden="false" customHeight="true" outlineLevel="0" collapsed="false">
      <c r="B39" s="32" t="s">
        <v>134</v>
      </c>
      <c r="C39" s="43" t="s">
        <v>135</v>
      </c>
      <c r="D39" s="43"/>
      <c r="E39" s="43"/>
      <c r="F39" s="52" t="n">
        <f aca="false">IF(AND('Entrada de Dados'!$D$34="Sim",$F$37&gt;'Entrada de Dados'!$D$35),'Entrada de Dados'!$D$35,$F$37)</f>
        <v>12</v>
      </c>
      <c r="G39" s="26" t="s">
        <v>67</v>
      </c>
    </row>
    <row r="40" customFormat="false" ht="15.75" hidden="false" customHeight="true" outlineLevel="0" collapsed="false">
      <c r="B40" s="32" t="s">
        <v>136</v>
      </c>
      <c r="C40" s="33" t="s">
        <v>137</v>
      </c>
      <c r="D40" s="33"/>
      <c r="E40" s="33"/>
      <c r="F40" s="50" t="n">
        <f aca="false">$F$22/(2*$F$39)</f>
        <v>0.25</v>
      </c>
      <c r="G40" s="26" t="s">
        <v>84</v>
      </c>
    </row>
    <row r="41" customFormat="false" ht="15.75" hidden="false" customHeight="true" outlineLevel="0" collapsed="false">
      <c r="B41" s="32" t="s">
        <v>138</v>
      </c>
      <c r="C41" s="33" t="s">
        <v>139</v>
      </c>
      <c r="D41" s="33"/>
      <c r="E41" s="33"/>
      <c r="F41" s="39" t="n">
        <f aca="false">DEGREES(ASIN(MIN(0.999,$F$40)))</f>
        <v>14.4775121859299</v>
      </c>
      <c r="G41" s="26" t="s">
        <v>140</v>
      </c>
    </row>
    <row r="42" customFormat="false" ht="15.75" hidden="false" customHeight="true" outlineLevel="0" collapsed="false">
      <c r="B42" s="32" t="s">
        <v>141</v>
      </c>
      <c r="C42" s="33" t="s">
        <v>142</v>
      </c>
      <c r="D42" s="33"/>
      <c r="E42" s="33"/>
      <c r="F42" s="50" t="n">
        <f aca="false">$F$18*TAN(RADIANS($F$41))</f>
        <v>1.29099444873581</v>
      </c>
      <c r="G42" s="26" t="s">
        <v>56</v>
      </c>
    </row>
    <row r="43" customFormat="false" ht="15.75" hidden="false" customHeight="true" outlineLevel="0" collapsed="false">
      <c r="B43" s="32" t="s">
        <v>143</v>
      </c>
      <c r="C43" s="33" t="s">
        <v>144</v>
      </c>
      <c r="D43" s="33"/>
      <c r="E43" s="33"/>
      <c r="F43" s="50" t="n">
        <f aca="false">IF(AND('Entrada de Dados'!$D$34="Sim",$F$37&gt;'Entrada de Dados'!$D$35),'Entrada de Dados'!$D$36,0)</f>
        <v>0.5</v>
      </c>
      <c r="G43" s="26" t="s">
        <v>56</v>
      </c>
    </row>
    <row r="44" customFormat="false" ht="15.75" hidden="false" customHeight="true" outlineLevel="0" collapsed="false">
      <c r="B44" s="32" t="s">
        <v>145</v>
      </c>
      <c r="C44" s="43" t="s">
        <v>146</v>
      </c>
      <c r="D44" s="43"/>
      <c r="E44" s="43"/>
      <c r="F44" s="53" t="n">
        <f aca="false">$F$42+$F$43</f>
        <v>1.79099444873581</v>
      </c>
      <c r="G44" s="26" t="s">
        <v>56</v>
      </c>
    </row>
    <row r="46" customFormat="false" ht="19.5" hidden="false" customHeight="true" outlineLevel="0" collapsed="false">
      <c r="B46" s="8" t="s">
        <v>147</v>
      </c>
      <c r="C46" s="8"/>
      <c r="D46" s="8"/>
      <c r="E46" s="8"/>
      <c r="F46" s="8"/>
      <c r="G46" s="8"/>
      <c r="H46" s="8"/>
      <c r="I46" s="8"/>
      <c r="J46" s="8"/>
    </row>
    <row r="47" customFormat="false" ht="15.75" hidden="false" customHeight="true" outlineLevel="0" collapsed="false">
      <c r="B47" s="32" t="s">
        <v>148</v>
      </c>
      <c r="C47" s="33" t="s">
        <v>149</v>
      </c>
      <c r="D47" s="33"/>
      <c r="E47" s="33"/>
      <c r="F47" s="34" t="n">
        <f aca="false">'Entrada de Dados'!$D$30</f>
        <v>1.5</v>
      </c>
      <c r="G47" s="26" t="s">
        <v>56</v>
      </c>
    </row>
    <row r="48" customFormat="false" ht="15.75" hidden="false" customHeight="true" outlineLevel="0" collapsed="false">
      <c r="B48" s="32" t="s">
        <v>150</v>
      </c>
      <c r="C48" s="33" t="s">
        <v>151</v>
      </c>
      <c r="D48" s="33"/>
      <c r="E48" s="33"/>
      <c r="F48" s="34" t="n">
        <f aca="false">'Entrada de Dados'!$D$31</f>
        <v>1.75</v>
      </c>
      <c r="G48" s="26" t="s">
        <v>56</v>
      </c>
    </row>
    <row r="49" customFormat="false" ht="15.75" hidden="false" customHeight="true" outlineLevel="0" collapsed="false">
      <c r="B49" s="32" t="s">
        <v>84</v>
      </c>
      <c r="C49" s="33" t="s">
        <v>152</v>
      </c>
      <c r="D49" s="33"/>
      <c r="E49" s="33"/>
      <c r="F49" s="39" t="n">
        <f aca="false">1.5</f>
        <v>1.5</v>
      </c>
      <c r="G49" s="26" t="s">
        <v>56</v>
      </c>
    </row>
    <row r="50" customFormat="false" ht="15.75" hidden="false" customHeight="true" outlineLevel="0" collapsed="false">
      <c r="B50" s="32" t="s">
        <v>84</v>
      </c>
      <c r="C50" s="33" t="s">
        <v>153</v>
      </c>
      <c r="D50" s="33"/>
      <c r="E50" s="33"/>
      <c r="F50" s="39" t="n">
        <f aca="false">1</f>
        <v>1</v>
      </c>
      <c r="G50" s="26" t="s">
        <v>56</v>
      </c>
    </row>
    <row r="51" customFormat="false" ht="15.75" hidden="false" customHeight="true" outlineLevel="0" collapsed="false">
      <c r="B51" s="32" t="s">
        <v>145</v>
      </c>
      <c r="C51" s="33" t="s">
        <v>154</v>
      </c>
      <c r="D51" s="33"/>
      <c r="E51" s="33"/>
      <c r="F51" s="50" t="n">
        <f aca="false">$F$44</f>
        <v>1.79099444873581</v>
      </c>
      <c r="G51" s="26" t="s">
        <v>56</v>
      </c>
    </row>
    <row r="52" customFormat="false" ht="15.75" hidden="false" customHeight="true" outlineLevel="0" collapsed="false">
      <c r="B52" s="32" t="s">
        <v>155</v>
      </c>
      <c r="C52" s="43" t="s">
        <v>156</v>
      </c>
      <c r="D52" s="43"/>
      <c r="E52" s="43"/>
      <c r="F52" s="52" t="n">
        <f aca="false">$F$47+$F$48+$F$49+$F$50+$F$51</f>
        <v>7.54099444873581</v>
      </c>
      <c r="G52" s="26" t="s">
        <v>56</v>
      </c>
      <c r="H52" s="42" t="str">
        <f aca="false">IF(F52&lt;='Entrada de Dados'!$D$19,"OK ≤ pé-direito","REPROVA &gt; disponível")</f>
        <v>OK ≤ pé-direito</v>
      </c>
      <c r="I52" s="42"/>
      <c r="J52" s="42"/>
    </row>
    <row r="53" customFormat="false" ht="15.75" hidden="false" customHeight="true" outlineLevel="0" collapsed="false">
      <c r="B53" s="32" t="s">
        <v>84</v>
      </c>
      <c r="C53" s="33" t="s">
        <v>60</v>
      </c>
      <c r="D53" s="33"/>
      <c r="E53" s="33"/>
      <c r="F53" s="34" t="n">
        <f aca="false">'Entrada de Dados'!$D$19</f>
        <v>8.5</v>
      </c>
      <c r="G53" s="26" t="s">
        <v>56</v>
      </c>
    </row>
    <row r="55" customFormat="false" ht="19.5" hidden="false" customHeight="true" outlineLevel="0" collapsed="false">
      <c r="B55" s="8" t="s">
        <v>157</v>
      </c>
      <c r="C55" s="8"/>
      <c r="D55" s="8"/>
      <c r="E55" s="8"/>
      <c r="F55" s="8"/>
      <c r="G55" s="8"/>
      <c r="H55" s="8"/>
      <c r="I55" s="8"/>
      <c r="J55" s="8"/>
    </row>
    <row r="56" customFormat="false" ht="15.75" hidden="false" customHeight="true" outlineLevel="0" collapsed="false">
      <c r="B56" s="32" t="s">
        <v>158</v>
      </c>
      <c r="C56" s="33" t="s">
        <v>159</v>
      </c>
      <c r="D56" s="33"/>
      <c r="E56" s="33"/>
      <c r="F56" s="41" t="n">
        <f aca="false">$F$12/$F$39</f>
        <v>5.25</v>
      </c>
      <c r="G56" s="26" t="s">
        <v>84</v>
      </c>
      <c r="H56" s="42" t="str">
        <f aca="false">IF(F56&gt;=2,"OK ≥ 2","REPROVA &lt; 2")</f>
        <v>OK ≥ 2</v>
      </c>
      <c r="I56" s="42"/>
      <c r="J56" s="42"/>
    </row>
    <row r="57" customFormat="false" ht="15.75" hidden="false" customHeight="true" outlineLevel="0" collapsed="false">
      <c r="B57" s="32" t="s">
        <v>160</v>
      </c>
      <c r="C57" s="33" t="s">
        <v>161</v>
      </c>
      <c r="D57" s="33"/>
      <c r="E57" s="33"/>
      <c r="F57" s="39" t="n">
        <f aca="false">$F$12/$F$13</f>
        <v>63</v>
      </c>
      <c r="G57" s="26" t="s">
        <v>84</v>
      </c>
      <c r="H57" s="42" t="str">
        <f aca="false">IF(F57&gt;=5,"OK ≥ 5 (NR-18)","Verificar")</f>
        <v>OK ≥ 5 (NR-18)</v>
      </c>
      <c r="I57" s="42"/>
      <c r="J57" s="42"/>
    </row>
    <row r="59" customFormat="false" ht="19.5" hidden="false" customHeight="true" outlineLevel="0" collapsed="false">
      <c r="B59" s="8" t="s">
        <v>162</v>
      </c>
      <c r="C59" s="8"/>
      <c r="D59" s="8"/>
      <c r="E59" s="8"/>
      <c r="F59" s="8"/>
      <c r="G59" s="8"/>
      <c r="H59" s="8"/>
      <c r="I59" s="8"/>
      <c r="J59" s="8"/>
    </row>
    <row r="60" customFormat="false" ht="15.75" hidden="false" customHeight="true" outlineLevel="0" collapsed="false">
      <c r="B60" s="32" t="s">
        <v>163</v>
      </c>
      <c r="C60" s="33" t="s">
        <v>164</v>
      </c>
      <c r="D60" s="33"/>
      <c r="E60" s="33"/>
      <c r="F60" s="41" t="n">
        <f aca="false">$F$39*COS(RADIANS($F$41))</f>
        <v>11.6189500386223</v>
      </c>
      <c r="G60" s="26" t="s">
        <v>67</v>
      </c>
    </row>
    <row r="61" customFormat="false" ht="15.75" hidden="false" customHeight="true" outlineLevel="0" collapsed="false">
      <c r="B61" s="32" t="s">
        <v>165</v>
      </c>
      <c r="C61" s="33" t="s">
        <v>166</v>
      </c>
      <c r="D61" s="33"/>
      <c r="E61" s="33"/>
      <c r="F61" s="41" t="n">
        <f aca="false">$F$39*SIN(RADIANS($F$41))</f>
        <v>3</v>
      </c>
      <c r="G61" s="26" t="s">
        <v>67</v>
      </c>
    </row>
    <row r="62" customFormat="false" ht="15.75" hidden="false" customHeight="true" outlineLevel="0" collapsed="false">
      <c r="B62" s="32" t="s">
        <v>167</v>
      </c>
      <c r="C62" s="33" t="s">
        <v>168</v>
      </c>
      <c r="D62" s="33"/>
      <c r="E62" s="33"/>
      <c r="F62" s="41" t="n">
        <f aca="false">VLOOKUP('Entrada de Dados'!$D$39,TabPerfis,6,FALSE())*0.0001*'Entrada de Dados'!$D$18*77</f>
        <v>0.218064</v>
      </c>
      <c r="G62" s="26" t="s">
        <v>67</v>
      </c>
    </row>
    <row r="63" customFormat="false" ht="15.75" hidden="false" customHeight="true" outlineLevel="0" collapsed="false">
      <c r="B63" s="32" t="s">
        <v>169</v>
      </c>
      <c r="C63" s="43" t="s">
        <v>170</v>
      </c>
      <c r="D63" s="43"/>
      <c r="E63" s="43"/>
      <c r="F63" s="52" t="n">
        <f aca="false">$F$60*'Entrada de Dados'!$D$18</f>
        <v>13.9427400463467</v>
      </c>
      <c r="G63" s="26" t="s">
        <v>171</v>
      </c>
    </row>
    <row r="64" customFormat="false" ht="15.75" hidden="false" customHeight="true" outlineLevel="0" collapsed="false">
      <c r="B64" s="32" t="s">
        <v>172</v>
      </c>
      <c r="C64" s="33" t="s">
        <v>173</v>
      </c>
      <c r="D64" s="33"/>
      <c r="E64" s="33"/>
      <c r="F64" s="41" t="n">
        <f aca="false">$F$61+$F$62</f>
        <v>3.218064</v>
      </c>
      <c r="G64" s="26" t="s">
        <v>67</v>
      </c>
    </row>
    <row r="66" customFormat="false" ht="19.5" hidden="false" customHeight="true" outlineLevel="0" collapsed="false">
      <c r="B66" s="8" t="s">
        <v>174</v>
      </c>
      <c r="C66" s="8"/>
      <c r="D66" s="8"/>
      <c r="E66" s="8"/>
      <c r="F66" s="8"/>
      <c r="G66" s="8"/>
      <c r="H66" s="8"/>
      <c r="I66" s="8"/>
      <c r="J66" s="8"/>
    </row>
    <row r="67" customFormat="false" ht="15.75" hidden="false" customHeight="true" outlineLevel="0" collapsed="false">
      <c r="B67" s="32" t="s">
        <v>84</v>
      </c>
      <c r="C67" s="33" t="s">
        <v>175</v>
      </c>
      <c r="D67" s="33"/>
      <c r="E67" s="33"/>
      <c r="F67" s="35" t="str">
        <f aca="false">'Entrada de Dados'!$D$39</f>
        <v>SHS 100x100x6,3</v>
      </c>
    </row>
    <row r="68" customFormat="false" ht="15.75" hidden="false" customHeight="true" outlineLevel="0" collapsed="false">
      <c r="B68" s="32" t="s">
        <v>176</v>
      </c>
      <c r="C68" s="33" t="s">
        <v>177</v>
      </c>
      <c r="D68" s="33"/>
      <c r="E68" s="33"/>
      <c r="F68" s="39" t="n">
        <f aca="false">VLOOKUP('Entrada de Dados'!$D$39,TabPerfis,4,FALSE())</f>
        <v>69.4</v>
      </c>
      <c r="G68" s="26" t="s">
        <v>178</v>
      </c>
    </row>
    <row r="69" customFormat="false" ht="15.75" hidden="false" customHeight="true" outlineLevel="0" collapsed="false">
      <c r="B69" s="32" t="s">
        <v>179</v>
      </c>
      <c r="C69" s="33" t="s">
        <v>180</v>
      </c>
      <c r="D69" s="33"/>
      <c r="E69" s="33"/>
      <c r="F69" s="39" t="n">
        <f aca="false">VLOOKUP('Entrada de Dados'!$D$39,TabPerfis,5,FALSE())</f>
        <v>83.1</v>
      </c>
      <c r="G69" s="26" t="s">
        <v>178</v>
      </c>
    </row>
    <row r="70" customFormat="false" ht="15.75" hidden="false" customHeight="true" outlineLevel="0" collapsed="false">
      <c r="B70" s="32" t="s">
        <v>99</v>
      </c>
      <c r="C70" s="33" t="s">
        <v>181</v>
      </c>
      <c r="D70" s="33"/>
      <c r="E70" s="33"/>
      <c r="F70" s="39" t="n">
        <f aca="false">VLOOKUP('Entrada de Dados'!$D$39,TabPerfis,6,FALSE())</f>
        <v>23.6</v>
      </c>
      <c r="G70" s="26" t="s">
        <v>182</v>
      </c>
    </row>
    <row r="71" customFormat="false" ht="15.75" hidden="false" customHeight="true" outlineLevel="0" collapsed="false">
      <c r="B71" s="32" t="s">
        <v>183</v>
      </c>
      <c r="C71" s="33" t="s">
        <v>184</v>
      </c>
      <c r="D71" s="33"/>
      <c r="E71" s="33"/>
      <c r="F71" s="38" t="n">
        <f aca="false">VLOOKUP('Entrada de Dados'!$D$39,TabPerfis,7,FALSE())</f>
        <v>345</v>
      </c>
      <c r="G71" s="26" t="s">
        <v>98</v>
      </c>
    </row>
    <row r="72" customFormat="false" ht="15.75" hidden="false" customHeight="true" outlineLevel="0" collapsed="false">
      <c r="B72" s="32" t="s">
        <v>185</v>
      </c>
      <c r="C72" s="33" t="s">
        <v>186</v>
      </c>
      <c r="D72" s="33"/>
      <c r="E72" s="33"/>
      <c r="F72" s="34" t="n">
        <f aca="false">'Entrada de Dados'!$D$40</f>
        <v>1.4</v>
      </c>
      <c r="G72" s="26" t="s">
        <v>84</v>
      </c>
    </row>
    <row r="73" customFormat="false" ht="15.75" hidden="false" customHeight="true" outlineLevel="0" collapsed="false">
      <c r="B73" s="32" t="s">
        <v>187</v>
      </c>
      <c r="C73" s="33" t="s">
        <v>188</v>
      </c>
      <c r="D73" s="33"/>
      <c r="E73" s="33"/>
      <c r="F73" s="41" t="n">
        <f aca="false">1.1</f>
        <v>1.1</v>
      </c>
      <c r="G73" s="26" t="s">
        <v>84</v>
      </c>
    </row>
    <row r="74" customFormat="false" ht="15.75" hidden="false" customHeight="true" outlineLevel="0" collapsed="false">
      <c r="B74" s="32" t="s">
        <v>189</v>
      </c>
      <c r="C74" s="43" t="s">
        <v>190</v>
      </c>
      <c r="D74" s="43"/>
      <c r="E74" s="43"/>
      <c r="F74" s="52" t="n">
        <f aca="false">$F$72*$F$63</f>
        <v>19.5198360648854</v>
      </c>
      <c r="G74" s="26" t="s">
        <v>171</v>
      </c>
    </row>
    <row r="75" customFormat="false" ht="15.75" hidden="false" customHeight="true" outlineLevel="0" collapsed="false">
      <c r="B75" s="32" t="s">
        <v>191</v>
      </c>
      <c r="C75" s="33" t="s">
        <v>192</v>
      </c>
      <c r="D75" s="33"/>
      <c r="E75" s="33"/>
      <c r="F75" s="41" t="n">
        <f aca="false">$F$72*$F$64</f>
        <v>4.5052896</v>
      </c>
      <c r="G75" s="26" t="s">
        <v>67</v>
      </c>
    </row>
    <row r="76" customFormat="false" ht="15.75" hidden="false" customHeight="true" outlineLevel="0" collapsed="false">
      <c r="B76" s="32" t="s">
        <v>193</v>
      </c>
      <c r="C76" s="43" t="s">
        <v>194</v>
      </c>
      <c r="D76" s="43"/>
      <c r="E76" s="43"/>
      <c r="F76" s="52" t="n">
        <f aca="false">$F$69*$F$71/$F$73/1000</f>
        <v>26.0631818181818</v>
      </c>
      <c r="G76" s="26" t="s">
        <v>171</v>
      </c>
    </row>
    <row r="77" customFormat="false" ht="15.75" hidden="false" customHeight="true" outlineLevel="0" collapsed="false">
      <c r="B77" s="32" t="s">
        <v>195</v>
      </c>
      <c r="C77" s="33" t="s">
        <v>196</v>
      </c>
      <c r="D77" s="33"/>
      <c r="E77" s="33"/>
      <c r="F77" s="37" t="n">
        <f aca="false">$F$70*$F$71/$F$73/10</f>
        <v>740.181818181818</v>
      </c>
      <c r="G77" s="26" t="s">
        <v>67</v>
      </c>
    </row>
    <row r="78" customFormat="false" ht="15.75" hidden="false" customHeight="true" outlineLevel="0" collapsed="false">
      <c r="B78" s="32" t="s">
        <v>197</v>
      </c>
      <c r="C78" s="43" t="s">
        <v>198</v>
      </c>
      <c r="D78" s="43"/>
      <c r="E78" s="43"/>
      <c r="F78" s="52" t="n">
        <f aca="false">IF($F$75/$F$77&gt;=0.2,$F$75/$F$77+(8/9)*($F$74/$F$76),$F$75/(2*$F$77)+$F$74/$F$76)</f>
        <v>0.751986308688801</v>
      </c>
      <c r="G78" s="26" t="s">
        <v>84</v>
      </c>
      <c r="H78" s="42" t="str">
        <f aca="false">IF(F78&lt;=1,"OK ≤ 1,0","REPROVA &gt; 1,0")</f>
        <v>OK ≤ 1,0</v>
      </c>
      <c r="I78" s="42"/>
      <c r="J78" s="42"/>
    </row>
    <row r="79" customFormat="false" ht="15.75" hidden="false" customHeight="true" outlineLevel="0" collapsed="false">
      <c r="B79" s="32" t="s">
        <v>199</v>
      </c>
      <c r="C79" s="33" t="s">
        <v>200</v>
      </c>
      <c r="D79" s="33"/>
      <c r="E79" s="33"/>
      <c r="F79" s="41" t="n">
        <f aca="false">$F$76/$F$74</f>
        <v>1.33521520014542</v>
      </c>
      <c r="G79" s="26" t="s">
        <v>84</v>
      </c>
    </row>
    <row r="80" customFormat="false" ht="18.75" hidden="false" customHeight="true" outlineLevel="0" collapsed="false">
      <c r="C80" s="54" t="s">
        <v>201</v>
      </c>
      <c r="D80" s="54"/>
      <c r="E80" s="54"/>
      <c r="F80" s="54"/>
      <c r="G80" s="54"/>
      <c r="H80" s="54"/>
      <c r="I80" s="54"/>
      <c r="J80" s="54"/>
    </row>
    <row r="82" customFormat="false" ht="19.5" hidden="false" customHeight="true" outlineLevel="0" collapsed="false">
      <c r="B82" s="8" t="s">
        <v>202</v>
      </c>
      <c r="C82" s="8"/>
      <c r="D82" s="8"/>
      <c r="E82" s="8"/>
      <c r="F82" s="8"/>
      <c r="G82" s="8"/>
      <c r="H82" s="8"/>
      <c r="I82" s="8"/>
      <c r="J82" s="8"/>
    </row>
    <row r="83" customFormat="false" ht="15.75" hidden="false" customHeight="true" outlineLevel="0" collapsed="false">
      <c r="B83" s="32" t="s">
        <v>203</v>
      </c>
      <c r="C83" s="33" t="s">
        <v>85</v>
      </c>
      <c r="D83" s="33"/>
      <c r="E83" s="33"/>
      <c r="F83" s="36" t="n">
        <f aca="false">'Entrada de Dados'!$D$41</f>
        <v>4</v>
      </c>
      <c r="G83" s="26" t="s">
        <v>58</v>
      </c>
    </row>
    <row r="84" customFormat="false" ht="15.75" hidden="false" customHeight="true" outlineLevel="0" collapsed="false">
      <c r="B84" s="32" t="s">
        <v>204</v>
      </c>
      <c r="C84" s="33" t="s">
        <v>205</v>
      </c>
      <c r="D84" s="33"/>
      <c r="E84" s="33"/>
      <c r="F84" s="34" t="n">
        <f aca="false">'Entrada de Dados'!$D$42</f>
        <v>0.18</v>
      </c>
      <c r="G84" s="26" t="s">
        <v>56</v>
      </c>
    </row>
    <row r="85" customFormat="false" ht="15.75" hidden="false" customHeight="true" outlineLevel="0" collapsed="false">
      <c r="B85" s="32" t="s">
        <v>206</v>
      </c>
      <c r="C85" s="43" t="s">
        <v>207</v>
      </c>
      <c r="D85" s="43"/>
      <c r="E85" s="43"/>
      <c r="F85" s="52" t="n">
        <f aca="false">$F$74/(($F$83/2)*$F$84)</f>
        <v>54.2217668469038</v>
      </c>
      <c r="G85" s="26" t="s">
        <v>67</v>
      </c>
    </row>
    <row r="86" customFormat="false" ht="15.75" hidden="false" customHeight="true" outlineLevel="0" collapsed="false">
      <c r="B86" s="32" t="s">
        <v>208</v>
      </c>
      <c r="C86" s="33" t="s">
        <v>209</v>
      </c>
      <c r="D86" s="33"/>
      <c r="E86" s="33"/>
      <c r="F86" s="39" t="n">
        <f aca="false">MAX(15,$F$39)</f>
        <v>15</v>
      </c>
      <c r="G86" s="26" t="s">
        <v>67</v>
      </c>
      <c r="H86" s="42" t="str">
        <f aca="false">IF(F86&gt;=15,"≥ 15 kN (NR-18 18.12.12.2)","")</f>
        <v>≥ 15 kN (NR-18 18.12.12.2)</v>
      </c>
      <c r="I86" s="42"/>
      <c r="J86" s="42"/>
    </row>
    <row r="87" customFormat="false" ht="18.75" hidden="false" customHeight="true" outlineLevel="0" collapsed="false">
      <c r="C87" s="54" t="s">
        <v>210</v>
      </c>
      <c r="D87" s="54"/>
      <c r="E87" s="54"/>
      <c r="F87" s="54"/>
      <c r="G87" s="54"/>
      <c r="H87" s="54"/>
      <c r="I87" s="54"/>
      <c r="J87" s="54"/>
    </row>
    <row r="89" customFormat="false" ht="19.5" hidden="false" customHeight="true" outlineLevel="0" collapsed="false">
      <c r="B89" s="55" t="s">
        <v>211</v>
      </c>
      <c r="C89" s="55"/>
      <c r="D89" s="55"/>
      <c r="E89" s="55"/>
      <c r="F89" s="55"/>
      <c r="G89" s="55"/>
      <c r="H89" s="55"/>
      <c r="I89" s="55"/>
      <c r="J89" s="55"/>
    </row>
    <row r="90" customFormat="false" ht="15.75" hidden="false" customHeight="true" outlineLevel="0" collapsed="false">
      <c r="B90" s="32" t="s">
        <v>212</v>
      </c>
      <c r="C90" s="33" t="s">
        <v>213</v>
      </c>
      <c r="D90" s="33"/>
      <c r="E90" s="33"/>
      <c r="F90" s="33"/>
      <c r="G90" s="33"/>
      <c r="H90" s="56" t="b">
        <f aca="false">$F$21&lt;=6</f>
        <v>1</v>
      </c>
      <c r="I90" s="56"/>
      <c r="J90" s="56"/>
    </row>
    <row r="91" customFormat="false" ht="15.75" hidden="false" customHeight="true" outlineLevel="0" collapsed="false">
      <c r="B91" s="32" t="s">
        <v>212</v>
      </c>
      <c r="C91" s="33" t="s">
        <v>214</v>
      </c>
      <c r="D91" s="33"/>
      <c r="E91" s="33"/>
      <c r="F91" s="33"/>
      <c r="G91" s="33"/>
      <c r="H91" s="56" t="b">
        <f aca="false">$F$56&gt;=2</f>
        <v>1</v>
      </c>
      <c r="I91" s="56"/>
      <c r="J91" s="56"/>
    </row>
    <row r="92" customFormat="false" ht="15.75" hidden="false" customHeight="true" outlineLevel="0" collapsed="false">
      <c r="B92" s="32" t="s">
        <v>212</v>
      </c>
      <c r="C92" s="33" t="s">
        <v>215</v>
      </c>
      <c r="D92" s="33"/>
      <c r="E92" s="33"/>
      <c r="F92" s="33"/>
      <c r="G92" s="33"/>
      <c r="H92" s="56" t="b">
        <f aca="false">$F$52&lt;='Entrada de Dados'!$D$19</f>
        <v>1</v>
      </c>
      <c r="I92" s="56"/>
      <c r="J92" s="56"/>
    </row>
    <row r="93" customFormat="false" ht="15.75" hidden="false" customHeight="true" outlineLevel="0" collapsed="false">
      <c r="B93" s="32" t="s">
        <v>212</v>
      </c>
      <c r="C93" s="33" t="s">
        <v>216</v>
      </c>
      <c r="D93" s="33"/>
      <c r="E93" s="33"/>
      <c r="F93" s="33"/>
      <c r="G93" s="33"/>
      <c r="H93" s="56" t="b">
        <f aca="false">$F$78&lt;=1</f>
        <v>1</v>
      </c>
      <c r="I93" s="56"/>
      <c r="J93" s="56"/>
    </row>
  </sheetData>
  <mergeCells count="84">
    <mergeCell ref="B2:J2"/>
    <mergeCell ref="B3:J3"/>
    <mergeCell ref="B4:E4"/>
    <mergeCell ref="F4:J4"/>
    <mergeCell ref="B6:J6"/>
    <mergeCell ref="C7:E7"/>
    <mergeCell ref="C8:E8"/>
    <mergeCell ref="C9:E9"/>
    <mergeCell ref="C10:E10"/>
    <mergeCell ref="C11:E11"/>
    <mergeCell ref="C12:E12"/>
    <mergeCell ref="C13:E13"/>
    <mergeCell ref="C14:E14"/>
    <mergeCell ref="C15:E15"/>
    <mergeCell ref="C16:E16"/>
    <mergeCell ref="C17:E17"/>
    <mergeCell ref="C18:E18"/>
    <mergeCell ref="B20:J20"/>
    <mergeCell ref="C21:E21"/>
    <mergeCell ref="H21:J21"/>
    <mergeCell ref="C22:E22"/>
    <mergeCell ref="B24:J24"/>
    <mergeCell ref="C25:J25"/>
    <mergeCell ref="C36:E36"/>
    <mergeCell ref="C37:E37"/>
    <mergeCell ref="C38:E38"/>
    <mergeCell ref="C39:E39"/>
    <mergeCell ref="C40:E40"/>
    <mergeCell ref="C41:E41"/>
    <mergeCell ref="C42:E42"/>
    <mergeCell ref="C43:E43"/>
    <mergeCell ref="C44:E44"/>
    <mergeCell ref="B46:J46"/>
    <mergeCell ref="C47:E47"/>
    <mergeCell ref="C48:E48"/>
    <mergeCell ref="C49:E49"/>
    <mergeCell ref="C50:E50"/>
    <mergeCell ref="C51:E51"/>
    <mergeCell ref="C52:E52"/>
    <mergeCell ref="H52:J52"/>
    <mergeCell ref="C53:E53"/>
    <mergeCell ref="B55:J55"/>
    <mergeCell ref="C56:E56"/>
    <mergeCell ref="H56:J56"/>
    <mergeCell ref="C57:E57"/>
    <mergeCell ref="H57:J57"/>
    <mergeCell ref="B59:J59"/>
    <mergeCell ref="C60:E60"/>
    <mergeCell ref="C61:E61"/>
    <mergeCell ref="C62:E62"/>
    <mergeCell ref="C63:E63"/>
    <mergeCell ref="C64:E64"/>
    <mergeCell ref="B66:J66"/>
    <mergeCell ref="C67:E67"/>
    <mergeCell ref="C68:E68"/>
    <mergeCell ref="C69:E69"/>
    <mergeCell ref="C70:E70"/>
    <mergeCell ref="C71:E71"/>
    <mergeCell ref="C72:E72"/>
    <mergeCell ref="C73:E73"/>
    <mergeCell ref="C74:E74"/>
    <mergeCell ref="C75:E75"/>
    <mergeCell ref="C76:E76"/>
    <mergeCell ref="C77:E77"/>
    <mergeCell ref="C78:E78"/>
    <mergeCell ref="H78:J78"/>
    <mergeCell ref="C79:E79"/>
    <mergeCell ref="C80:J80"/>
    <mergeCell ref="B82:J82"/>
    <mergeCell ref="C83:E83"/>
    <mergeCell ref="C84:E84"/>
    <mergeCell ref="C85:E85"/>
    <mergeCell ref="C86:E86"/>
    <mergeCell ref="H86:J86"/>
    <mergeCell ref="C87:J87"/>
    <mergeCell ref="B89:J89"/>
    <mergeCell ref="C90:G90"/>
    <mergeCell ref="H90:J90"/>
    <mergeCell ref="C91:G91"/>
    <mergeCell ref="H91:J91"/>
    <mergeCell ref="C92:G92"/>
    <mergeCell ref="H92:J92"/>
    <mergeCell ref="C93:G93"/>
    <mergeCell ref="H93:J93"/>
  </mergeCells>
  <conditionalFormatting sqref="F4">
    <cfRule type="expression" priority="2" aboveAverage="0" equalAverage="0" bottom="0" percent="0" rank="0" text="" dxfId="0">
      <formula>ISNUMBER(SEARCH("APROV",F4))</formula>
    </cfRule>
    <cfRule type="expression" priority="3" aboveAverage="0" equalAverage="0" bottom="0" percent="0" rank="0" text="" dxfId="1">
      <formula>ISNUMBER(SEARCH("REPROV",F4))</formula>
    </cfRule>
  </conditionalFormatting>
  <conditionalFormatting sqref="H21">
    <cfRule type="expression" priority="4" aboveAverage="0" equalAverage="0" bottom="0" percent="0" rank="0" text="" dxfId="2">
      <formula>ISNUMBER(SEARCH("OK",H21))</formula>
    </cfRule>
    <cfRule type="expression" priority="5" aboveAverage="0" equalAverage="0" bottom="0" percent="0" rank="0" text="" dxfId="3">
      <formula>ISNUMBER(SEARCH("REPROV",H21))</formula>
    </cfRule>
  </conditionalFormatting>
  <conditionalFormatting sqref="H52">
    <cfRule type="expression" priority="6" aboveAverage="0" equalAverage="0" bottom="0" percent="0" rank="0" text="" dxfId="2">
      <formula>ISNUMBER(SEARCH("OK",H52))</formula>
    </cfRule>
    <cfRule type="expression" priority="7" aboveAverage="0" equalAverage="0" bottom="0" percent="0" rank="0" text="" dxfId="3">
      <formula>ISNUMBER(SEARCH("REPROV",H52))</formula>
    </cfRule>
  </conditionalFormatting>
  <conditionalFormatting sqref="H56">
    <cfRule type="expression" priority="8" aboveAverage="0" equalAverage="0" bottom="0" percent="0" rank="0" text="" dxfId="2">
      <formula>ISNUMBER(SEARCH("OK",H56))</formula>
    </cfRule>
    <cfRule type="expression" priority="9" aboveAverage="0" equalAverage="0" bottom="0" percent="0" rank="0" text="" dxfId="3">
      <formula>ISNUMBER(SEARCH("REPROV",H56))</formula>
    </cfRule>
  </conditionalFormatting>
  <conditionalFormatting sqref="H57">
    <cfRule type="expression" priority="10" aboveAverage="0" equalAverage="0" bottom="0" percent="0" rank="0" text="" dxfId="2">
      <formula>ISNUMBER(SEARCH("OK",H57))</formula>
    </cfRule>
    <cfRule type="expression" priority="11" aboveAverage="0" equalAverage="0" bottom="0" percent="0" rank="0" text="" dxfId="3">
      <formula>ISNUMBER(SEARCH("REPROV",H57))</formula>
    </cfRule>
  </conditionalFormatting>
  <conditionalFormatting sqref="H78">
    <cfRule type="expression" priority="12" aboveAverage="0" equalAverage="0" bottom="0" percent="0" rank="0" text="" dxfId="2">
      <formula>ISNUMBER(SEARCH("OK",H78))</formula>
    </cfRule>
    <cfRule type="expression" priority="13" aboveAverage="0" equalAverage="0" bottom="0" percent="0" rank="0" text="" dxfId="3">
      <formula>ISNUMBER(SEARCH("REPROV",H78))</formula>
    </cfRule>
  </conditionalFormatting>
  <conditionalFormatting sqref="H86">
    <cfRule type="expression" priority="14" aboveAverage="0" equalAverage="0" bottom="0" percent="0" rank="0" text="" dxfId="2">
      <formula>ISNUMBER(SEARCH("OK",H86))</formula>
    </cfRule>
    <cfRule type="expression" priority="15" aboveAverage="0" equalAverage="0" bottom="0" percent="0" rank="0" text="" dxfId="3">
      <formula>ISNUMBER(SEARCH("REPROV",H86))</formula>
    </cfRule>
  </conditionalFormatting>
  <conditionalFormatting sqref="H90">
    <cfRule type="expression" priority="16" aboveAverage="0" equalAverage="0" bottom="0" percent="0" rank="0" text="" dxfId="4">
      <formula>H90=1</formula>
    </cfRule>
    <cfRule type="expression" priority="17" aboveAverage="0" equalAverage="0" bottom="0" percent="0" rank="0" text="" dxfId="5">
      <formula>H90=0</formula>
    </cfRule>
  </conditionalFormatting>
  <conditionalFormatting sqref="H91">
    <cfRule type="expression" priority="18" aboveAverage="0" equalAverage="0" bottom="0" percent="0" rank="0" text="" dxfId="4">
      <formula>H91=1</formula>
    </cfRule>
    <cfRule type="expression" priority="19" aboveAverage="0" equalAverage="0" bottom="0" percent="0" rank="0" text="" dxfId="5">
      <formula>H91=0</formula>
    </cfRule>
  </conditionalFormatting>
  <conditionalFormatting sqref="H92">
    <cfRule type="expression" priority="20" aboveAverage="0" equalAverage="0" bottom="0" percent="0" rank="0" text="" dxfId="4">
      <formula>H92=1</formula>
    </cfRule>
    <cfRule type="expression" priority="21" aboveAverage="0" equalAverage="0" bottom="0" percent="0" rank="0" text="" dxfId="5">
      <formula>H92=0</formula>
    </cfRule>
  </conditionalFormatting>
  <conditionalFormatting sqref="H93">
    <cfRule type="expression" priority="22" aboveAverage="0" equalAverage="0" bottom="0" percent="0" rank="0" text="" dxfId="4">
      <formula>H93=1</formula>
    </cfRule>
    <cfRule type="expression" priority="23" aboveAverage="0" equalAverage="0" bottom="0" percent="0" rank="0" text="" dxfId="5">
      <formula>H93=0</formula>
    </cfRule>
  </conditionalFormatting>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I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5"/>
    <col collapsed="false" customWidth="true" hidden="false" outlineLevel="0" max="2" min="2" style="1" width="30"/>
    <col collapsed="false" customWidth="true" hidden="false" outlineLevel="0" max="9" min="3" style="1" width="11"/>
  </cols>
  <sheetData>
    <row r="2" customFormat="false" ht="30" hidden="false" customHeight="true" outlineLevel="0" collapsed="false">
      <c r="B2" s="21" t="s">
        <v>217</v>
      </c>
      <c r="C2" s="21"/>
      <c r="D2" s="21"/>
      <c r="E2" s="21"/>
      <c r="F2" s="21"/>
      <c r="G2" s="21"/>
      <c r="H2" s="21"/>
      <c r="I2" s="21"/>
    </row>
    <row r="3" customFormat="false" ht="15.75" hidden="false" customHeight="true" outlineLevel="0" collapsed="false">
      <c r="B3" s="22" t="s">
        <v>218</v>
      </c>
      <c r="C3" s="22"/>
      <c r="D3" s="22"/>
      <c r="E3" s="22"/>
      <c r="F3" s="22"/>
      <c r="G3" s="22"/>
      <c r="H3" s="22"/>
      <c r="I3" s="22"/>
    </row>
    <row r="5" customFormat="false" ht="39.75" hidden="false" customHeight="true" outlineLevel="0" collapsed="false">
      <c r="B5" s="57" t="s">
        <v>219</v>
      </c>
      <c r="C5" s="58" t="s">
        <v>220</v>
      </c>
      <c r="D5" s="58" t="s">
        <v>221</v>
      </c>
      <c r="E5" s="58" t="s">
        <v>222</v>
      </c>
      <c r="F5" s="58" t="s">
        <v>223</v>
      </c>
      <c r="G5" s="58" t="s">
        <v>224</v>
      </c>
      <c r="H5" s="58" t="s">
        <v>225</v>
      </c>
      <c r="I5" s="58" t="s">
        <v>226</v>
      </c>
    </row>
    <row r="6" customFormat="false" ht="18" hidden="false" customHeight="true" outlineLevel="0" collapsed="false">
      <c r="B6" s="59" t="s">
        <v>51</v>
      </c>
      <c r="C6" s="60" t="s">
        <v>227</v>
      </c>
      <c r="D6" s="61" t="s">
        <v>228</v>
      </c>
      <c r="E6" s="61" t="s">
        <v>228</v>
      </c>
      <c r="F6" s="62" t="s">
        <v>229</v>
      </c>
      <c r="G6" s="62" t="s">
        <v>229</v>
      </c>
      <c r="H6" s="62" t="s">
        <v>229</v>
      </c>
      <c r="I6" s="62" t="s">
        <v>229</v>
      </c>
    </row>
    <row r="7" customFormat="false" ht="18" hidden="false" customHeight="true" outlineLevel="0" collapsed="false">
      <c r="B7" s="59" t="s">
        <v>230</v>
      </c>
      <c r="C7" s="60" t="s">
        <v>231</v>
      </c>
      <c r="D7" s="62" t="s">
        <v>229</v>
      </c>
      <c r="E7" s="62" t="s">
        <v>229</v>
      </c>
      <c r="F7" s="62" t="s">
        <v>229</v>
      </c>
      <c r="G7" s="62" t="s">
        <v>229</v>
      </c>
      <c r="H7" s="62" t="s">
        <v>229</v>
      </c>
      <c r="I7" s="62" t="s">
        <v>229</v>
      </c>
    </row>
    <row r="8" customFormat="false" ht="18" hidden="false" customHeight="true" outlineLevel="0" collapsed="false">
      <c r="B8" s="59" t="s">
        <v>232</v>
      </c>
      <c r="C8" s="60" t="s">
        <v>231</v>
      </c>
      <c r="D8" s="62" t="s">
        <v>229</v>
      </c>
      <c r="E8" s="62" t="s">
        <v>229</v>
      </c>
      <c r="F8" s="62" t="s">
        <v>229</v>
      </c>
      <c r="G8" s="62" t="s">
        <v>229</v>
      </c>
      <c r="H8" s="62" t="s">
        <v>229</v>
      </c>
      <c r="I8" s="62" t="s">
        <v>229</v>
      </c>
    </row>
    <row r="9" customFormat="false" ht="18" hidden="false" customHeight="true" outlineLevel="0" collapsed="false">
      <c r="B9" s="59" t="s">
        <v>233</v>
      </c>
      <c r="C9" s="60" t="s">
        <v>227</v>
      </c>
      <c r="D9" s="61" t="s">
        <v>228</v>
      </c>
      <c r="E9" s="61" t="s">
        <v>228</v>
      </c>
      <c r="F9" s="62" t="s">
        <v>229</v>
      </c>
      <c r="G9" s="62" t="s">
        <v>229</v>
      </c>
      <c r="H9" s="62" t="s">
        <v>229</v>
      </c>
      <c r="I9" s="62" t="s">
        <v>229</v>
      </c>
    </row>
    <row r="10" customFormat="false" ht="18" hidden="false" customHeight="true" outlineLevel="0" collapsed="false">
      <c r="B10" s="59" t="s">
        <v>234</v>
      </c>
      <c r="C10" s="60" t="s">
        <v>227</v>
      </c>
      <c r="D10" s="62" t="s">
        <v>229</v>
      </c>
      <c r="E10" s="62" t="s">
        <v>229</v>
      </c>
      <c r="F10" s="60" t="s">
        <v>227</v>
      </c>
      <c r="G10" s="61" t="s">
        <v>228</v>
      </c>
      <c r="H10" s="62" t="s">
        <v>229</v>
      </c>
      <c r="I10" s="62" t="s">
        <v>229</v>
      </c>
    </row>
    <row r="11" customFormat="false" ht="18" hidden="false" customHeight="true" outlineLevel="0" collapsed="false">
      <c r="B11" s="59" t="s">
        <v>235</v>
      </c>
      <c r="C11" s="60" t="s">
        <v>227</v>
      </c>
      <c r="D11" s="60" t="s">
        <v>227</v>
      </c>
      <c r="E11" s="60" t="s">
        <v>227</v>
      </c>
      <c r="F11" s="62" t="s">
        <v>229</v>
      </c>
      <c r="G11" s="62" t="s">
        <v>229</v>
      </c>
      <c r="H11" s="62" t="s">
        <v>229</v>
      </c>
      <c r="I11" s="62" t="s">
        <v>229</v>
      </c>
    </row>
    <row r="12" customFormat="false" ht="18" hidden="false" customHeight="true" outlineLevel="0" collapsed="false">
      <c r="B12" s="59" t="s">
        <v>236</v>
      </c>
      <c r="C12" s="60" t="s">
        <v>227</v>
      </c>
      <c r="D12" s="60" t="s">
        <v>227</v>
      </c>
      <c r="E12" s="61" t="s">
        <v>228</v>
      </c>
      <c r="F12" s="62" t="s">
        <v>229</v>
      </c>
      <c r="G12" s="62" t="s">
        <v>229</v>
      </c>
      <c r="H12" s="62" t="s">
        <v>229</v>
      </c>
      <c r="I12" s="62" t="s">
        <v>229</v>
      </c>
    </row>
    <row r="13" customFormat="false" ht="18" hidden="false" customHeight="true" outlineLevel="0" collapsed="false">
      <c r="B13" s="59" t="s">
        <v>237</v>
      </c>
      <c r="C13" s="61" t="s">
        <v>228</v>
      </c>
      <c r="D13" s="62" t="s">
        <v>229</v>
      </c>
      <c r="E13" s="62" t="s">
        <v>229</v>
      </c>
      <c r="F13" s="60" t="s">
        <v>227</v>
      </c>
      <c r="G13" s="61" t="s">
        <v>228</v>
      </c>
      <c r="H13" s="62" t="s">
        <v>229</v>
      </c>
      <c r="I13" s="62" t="s">
        <v>229</v>
      </c>
    </row>
    <row r="14" customFormat="false" ht="18" hidden="false" customHeight="true" outlineLevel="0" collapsed="false">
      <c r="B14" s="59" t="s">
        <v>238</v>
      </c>
      <c r="C14" s="60" t="s">
        <v>227</v>
      </c>
      <c r="D14" s="61" t="s">
        <v>228</v>
      </c>
      <c r="E14" s="60" t="s">
        <v>227</v>
      </c>
      <c r="F14" s="62" t="s">
        <v>229</v>
      </c>
      <c r="G14" s="62" t="s">
        <v>229</v>
      </c>
      <c r="H14" s="62" t="s">
        <v>229</v>
      </c>
      <c r="I14" s="62" t="s">
        <v>229</v>
      </c>
    </row>
    <row r="15" customFormat="false" ht="18" hidden="false" customHeight="true" outlineLevel="0" collapsed="false">
      <c r="B15" s="59" t="s">
        <v>239</v>
      </c>
      <c r="C15" s="62" t="s">
        <v>229</v>
      </c>
      <c r="D15" s="62" t="s">
        <v>229</v>
      </c>
      <c r="E15" s="62" t="s">
        <v>229</v>
      </c>
      <c r="F15" s="62" t="s">
        <v>229</v>
      </c>
      <c r="G15" s="62" t="s">
        <v>229</v>
      </c>
      <c r="H15" s="60" t="s">
        <v>227</v>
      </c>
      <c r="I15" s="61" t="s">
        <v>228</v>
      </c>
    </row>
    <row r="16" customFormat="false" ht="18" hidden="false" customHeight="true" outlineLevel="0" collapsed="false">
      <c r="B16" s="59" t="s">
        <v>240</v>
      </c>
      <c r="C16" s="62" t="s">
        <v>229</v>
      </c>
      <c r="D16" s="62" t="s">
        <v>229</v>
      </c>
      <c r="E16" s="62" t="s">
        <v>229</v>
      </c>
      <c r="F16" s="62" t="s">
        <v>229</v>
      </c>
      <c r="G16" s="62" t="s">
        <v>229</v>
      </c>
      <c r="H16" s="60" t="s">
        <v>227</v>
      </c>
      <c r="I16" s="63" t="s">
        <v>241</v>
      </c>
    </row>
    <row r="17" customFormat="false" ht="18" hidden="false" customHeight="true" outlineLevel="0" collapsed="false">
      <c r="B17" s="59" t="s">
        <v>242</v>
      </c>
      <c r="C17" s="62" t="s">
        <v>229</v>
      </c>
      <c r="D17" s="62" t="s">
        <v>229</v>
      </c>
      <c r="E17" s="62" t="s">
        <v>229</v>
      </c>
      <c r="F17" s="60" t="s">
        <v>227</v>
      </c>
      <c r="G17" s="61" t="s">
        <v>228</v>
      </c>
      <c r="H17" s="60" t="s">
        <v>227</v>
      </c>
      <c r="I17" s="62" t="s">
        <v>229</v>
      </c>
    </row>
    <row r="18" customFormat="false" ht="18" hidden="false" customHeight="true" outlineLevel="0" collapsed="false">
      <c r="B18" s="59" t="s">
        <v>243</v>
      </c>
      <c r="C18" s="62" t="s">
        <v>229</v>
      </c>
      <c r="D18" s="62" t="s">
        <v>229</v>
      </c>
      <c r="E18" s="62" t="s">
        <v>229</v>
      </c>
      <c r="F18" s="62" t="s">
        <v>229</v>
      </c>
      <c r="G18" s="62" t="s">
        <v>229</v>
      </c>
      <c r="H18" s="60" t="s">
        <v>227</v>
      </c>
      <c r="I18" s="61" t="s">
        <v>228</v>
      </c>
    </row>
    <row r="20" customFormat="false" ht="15" hidden="false" customHeight="true" outlineLevel="0" collapsed="false">
      <c r="B20" s="64" t="s">
        <v>244</v>
      </c>
      <c r="C20" s="64"/>
      <c r="D20" s="64"/>
      <c r="E20" s="64"/>
      <c r="F20" s="64"/>
      <c r="G20" s="64"/>
      <c r="H20" s="64"/>
      <c r="I20" s="64"/>
    </row>
    <row r="21" customFormat="false" ht="15" hidden="false" customHeight="true" outlineLevel="0" collapsed="false">
      <c r="B21" s="60" t="s">
        <v>227</v>
      </c>
      <c r="C21" s="65" t="s">
        <v>245</v>
      </c>
      <c r="D21" s="65"/>
      <c r="E21" s="65"/>
      <c r="F21" s="65"/>
      <c r="G21" s="65"/>
      <c r="H21" s="65"/>
      <c r="I21" s="65"/>
    </row>
    <row r="22" customFormat="false" ht="15" hidden="false" customHeight="true" outlineLevel="0" collapsed="false">
      <c r="B22" s="60" t="s">
        <v>231</v>
      </c>
      <c r="C22" s="65" t="s">
        <v>246</v>
      </c>
      <c r="D22" s="65"/>
      <c r="E22" s="65"/>
      <c r="F22" s="65"/>
      <c r="G22" s="65"/>
      <c r="H22" s="65"/>
      <c r="I22" s="65"/>
    </row>
    <row r="23" customFormat="false" ht="15" hidden="false" customHeight="true" outlineLevel="0" collapsed="false">
      <c r="B23" s="61" t="s">
        <v>228</v>
      </c>
      <c r="C23" s="65" t="s">
        <v>247</v>
      </c>
      <c r="D23" s="65"/>
      <c r="E23" s="65"/>
      <c r="F23" s="65"/>
      <c r="G23" s="65"/>
      <c r="H23" s="65"/>
      <c r="I23" s="65"/>
    </row>
    <row r="24" customFormat="false" ht="15" hidden="false" customHeight="true" outlineLevel="0" collapsed="false">
      <c r="B24" s="63" t="s">
        <v>241</v>
      </c>
      <c r="C24" s="65" t="s">
        <v>248</v>
      </c>
      <c r="D24" s="65"/>
      <c r="E24" s="65"/>
      <c r="F24" s="65"/>
      <c r="G24" s="65"/>
      <c r="H24" s="65"/>
      <c r="I24" s="65"/>
    </row>
    <row r="25" customFormat="false" ht="15" hidden="false" customHeight="true" outlineLevel="0" collapsed="false">
      <c r="B25" s="62" t="s">
        <v>229</v>
      </c>
      <c r="C25" s="65" t="s">
        <v>249</v>
      </c>
      <c r="D25" s="65"/>
      <c r="E25" s="65"/>
      <c r="F25" s="65"/>
      <c r="G25" s="65"/>
      <c r="H25" s="65"/>
      <c r="I25" s="65"/>
    </row>
    <row r="27" customFormat="false" ht="15" hidden="false" customHeight="true" outlineLevel="0" collapsed="false">
      <c r="B27" s="66" t="s">
        <v>250</v>
      </c>
      <c r="C27" s="66"/>
      <c r="D27" s="66"/>
      <c r="E27" s="66"/>
      <c r="F27" s="66"/>
      <c r="G27" s="66"/>
      <c r="H27" s="66"/>
      <c r="I27" s="66"/>
    </row>
    <row r="28" customFormat="false" ht="25.5" hidden="false" customHeight="true" outlineLevel="0" collapsed="false">
      <c r="B28" s="18" t="s">
        <v>251</v>
      </c>
      <c r="C28" s="18"/>
      <c r="D28" s="18"/>
      <c r="E28" s="18"/>
      <c r="F28" s="18"/>
      <c r="G28" s="18"/>
      <c r="H28" s="18"/>
      <c r="I28" s="18"/>
    </row>
    <row r="29" customFormat="false" ht="25.5" hidden="false" customHeight="true" outlineLevel="0" collapsed="false">
      <c r="B29" s="17" t="s">
        <v>252</v>
      </c>
      <c r="C29" s="17"/>
      <c r="D29" s="17"/>
      <c r="E29" s="17"/>
      <c r="F29" s="17"/>
      <c r="G29" s="17"/>
      <c r="H29" s="17"/>
      <c r="I29" s="17"/>
    </row>
    <row r="30" customFormat="false" ht="25.5" hidden="false" customHeight="true" outlineLevel="0" collapsed="false">
      <c r="B30" s="18" t="s">
        <v>253</v>
      </c>
      <c r="C30" s="18"/>
      <c r="D30" s="18"/>
      <c r="E30" s="18"/>
      <c r="F30" s="18"/>
      <c r="G30" s="18"/>
      <c r="H30" s="18"/>
      <c r="I30" s="18"/>
    </row>
    <row r="31" customFormat="false" ht="25.5" hidden="false" customHeight="true" outlineLevel="0" collapsed="false">
      <c r="B31" s="17" t="s">
        <v>254</v>
      </c>
      <c r="C31" s="17"/>
      <c r="D31" s="17"/>
      <c r="E31" s="17"/>
      <c r="F31" s="17"/>
      <c r="G31" s="17"/>
      <c r="H31" s="17"/>
      <c r="I31" s="17"/>
    </row>
    <row r="32" customFormat="false" ht="25.5" hidden="false" customHeight="true" outlineLevel="0" collapsed="false">
      <c r="B32" s="18" t="s">
        <v>255</v>
      </c>
      <c r="C32" s="18"/>
      <c r="D32" s="18"/>
      <c r="E32" s="18"/>
      <c r="F32" s="18"/>
      <c r="G32" s="18"/>
      <c r="H32" s="18"/>
      <c r="I32" s="18"/>
    </row>
    <row r="33" customFormat="false" ht="25.5" hidden="false" customHeight="true" outlineLevel="0" collapsed="false">
      <c r="B33" s="17" t="s">
        <v>256</v>
      </c>
      <c r="C33" s="17"/>
      <c r="D33" s="17"/>
      <c r="E33" s="17"/>
      <c r="F33" s="17"/>
      <c r="G33" s="17"/>
      <c r="H33" s="17"/>
      <c r="I33" s="17"/>
    </row>
    <row r="34" customFormat="false" ht="25.5" hidden="false" customHeight="true" outlineLevel="0" collapsed="false">
      <c r="B34" s="18" t="s">
        <v>257</v>
      </c>
      <c r="C34" s="18"/>
      <c r="D34" s="18"/>
      <c r="E34" s="18"/>
      <c r="F34" s="18"/>
      <c r="G34" s="18"/>
      <c r="H34" s="18"/>
      <c r="I34" s="18"/>
    </row>
    <row r="35" customFormat="false" ht="25.5" hidden="false" customHeight="true" outlineLevel="0" collapsed="false">
      <c r="B35" s="17" t="s">
        <v>258</v>
      </c>
      <c r="C35" s="17"/>
      <c r="D35" s="17"/>
      <c r="E35" s="17"/>
      <c r="F35" s="17"/>
      <c r="G35" s="17"/>
      <c r="H35" s="17"/>
      <c r="I35" s="17"/>
    </row>
  </sheetData>
  <mergeCells count="17">
    <mergeCell ref="B2:I2"/>
    <mergeCell ref="B3:I3"/>
    <mergeCell ref="B20:I20"/>
    <mergeCell ref="C21:I21"/>
    <mergeCell ref="C22:I22"/>
    <mergeCell ref="C23:I23"/>
    <mergeCell ref="C24:I24"/>
    <mergeCell ref="C25:I25"/>
    <mergeCell ref="B27:I27"/>
    <mergeCell ref="B28:I28"/>
    <mergeCell ref="B29:I29"/>
    <mergeCell ref="B30:I30"/>
    <mergeCell ref="B31:I31"/>
    <mergeCell ref="B32:I32"/>
    <mergeCell ref="B33:I33"/>
    <mergeCell ref="B34:I34"/>
    <mergeCell ref="B35:I35"/>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5"/>
    <col collapsed="false" customWidth="true" hidden="false" outlineLevel="0" max="2" min="2" style="1" width="5"/>
    <col collapsed="false" customWidth="true" hidden="false" outlineLevel="0" max="3" min="3" style="1" width="24"/>
    <col collapsed="false" customWidth="true" hidden="false" outlineLevel="0" max="5" min="4" style="1" width="33"/>
    <col collapsed="false" customWidth="true" hidden="false" outlineLevel="0" max="6" min="6" style="1" width="26"/>
  </cols>
  <sheetData>
    <row r="2" customFormat="false" ht="30" hidden="false" customHeight="true" outlineLevel="0" collapsed="false">
      <c r="B2" s="21" t="s">
        <v>259</v>
      </c>
      <c r="C2" s="21"/>
      <c r="D2" s="21"/>
      <c r="E2" s="21"/>
      <c r="F2" s="21"/>
    </row>
    <row r="3" customFormat="false" ht="15.75" hidden="false" customHeight="true" outlineLevel="0" collapsed="false">
      <c r="B3" s="22" t="s">
        <v>260</v>
      </c>
      <c r="C3" s="22"/>
      <c r="D3" s="22"/>
      <c r="E3" s="22"/>
      <c r="F3" s="22"/>
    </row>
    <row r="4" customFormat="false" ht="18" hidden="false" customHeight="true" outlineLevel="0" collapsed="false">
      <c r="B4" s="67" t="str">
        <f aca="false">CONCATENATE("Configuração de projeto selecionada:  cabo Ø ",'Entrada de Dados'!$D$23,"mm  ·  material ",'Entrada de Dados'!$D$22,"  ·  poste ",'Entrada de Dados'!$D$39)</f>
        <v>Configuração de projeto selecionada:  cabo Ø 10mm  ·  material Inox AISI 316  ·  poste SHS 100x100x6,3</v>
      </c>
      <c r="C4" s="67"/>
      <c r="D4" s="67"/>
      <c r="E4" s="67"/>
      <c r="F4" s="67"/>
    </row>
    <row r="6" customFormat="false" ht="25.5" hidden="false" customHeight="true" outlineLevel="0" collapsed="false">
      <c r="B6" s="68" t="s">
        <v>261</v>
      </c>
      <c r="C6" s="68" t="s">
        <v>262</v>
      </c>
      <c r="D6" s="68" t="s">
        <v>263</v>
      </c>
      <c r="E6" s="68" t="s">
        <v>264</v>
      </c>
      <c r="F6" s="68" t="s">
        <v>265</v>
      </c>
    </row>
    <row r="7" customFormat="false" ht="42" hidden="false" customHeight="true" outlineLevel="0" collapsed="false">
      <c r="B7" s="69" t="n">
        <v>1</v>
      </c>
      <c r="C7" s="59" t="s">
        <v>266</v>
      </c>
      <c r="D7" s="70" t="s">
        <v>267</v>
      </c>
      <c r="E7" s="71" t="s">
        <v>268</v>
      </c>
      <c r="F7" s="72" t="s">
        <v>269</v>
      </c>
    </row>
    <row r="8" customFormat="false" ht="42" hidden="false" customHeight="true" outlineLevel="0" collapsed="false">
      <c r="B8" s="69" t="n">
        <v>2</v>
      </c>
      <c r="C8" s="59" t="s">
        <v>270</v>
      </c>
      <c r="D8" s="70" t="s">
        <v>271</v>
      </c>
      <c r="E8" s="71" t="s">
        <v>272</v>
      </c>
      <c r="F8" s="72" t="s">
        <v>273</v>
      </c>
    </row>
    <row r="9" customFormat="false" ht="42" hidden="false" customHeight="true" outlineLevel="0" collapsed="false">
      <c r="B9" s="69" t="n">
        <v>3</v>
      </c>
      <c r="C9" s="59" t="s">
        <v>274</v>
      </c>
      <c r="D9" s="70" t="s">
        <v>275</v>
      </c>
      <c r="E9" s="71" t="s">
        <v>276</v>
      </c>
      <c r="F9" s="72" t="s">
        <v>277</v>
      </c>
    </row>
    <row r="10" customFormat="false" ht="42" hidden="false" customHeight="true" outlineLevel="0" collapsed="false">
      <c r="B10" s="69" t="n">
        <v>4</v>
      </c>
      <c r="C10" s="59" t="s">
        <v>278</v>
      </c>
      <c r="D10" s="70" t="s">
        <v>279</v>
      </c>
      <c r="E10" s="71" t="s">
        <v>280</v>
      </c>
      <c r="F10" s="72" t="s">
        <v>281</v>
      </c>
    </row>
    <row r="11" customFormat="false" ht="42" hidden="false" customHeight="true" outlineLevel="0" collapsed="false">
      <c r="B11" s="69" t="n">
        <v>5</v>
      </c>
      <c r="C11" s="59" t="s">
        <v>282</v>
      </c>
      <c r="D11" s="70" t="s">
        <v>283</v>
      </c>
      <c r="E11" s="71" t="s">
        <v>284</v>
      </c>
      <c r="F11" s="72" t="s">
        <v>285</v>
      </c>
    </row>
    <row r="12" customFormat="false" ht="42" hidden="false" customHeight="true" outlineLevel="0" collapsed="false">
      <c r="B12" s="69" t="n">
        <v>6</v>
      </c>
      <c r="C12" s="59" t="s">
        <v>286</v>
      </c>
      <c r="D12" s="70" t="s">
        <v>287</v>
      </c>
      <c r="E12" s="71" t="s">
        <v>288</v>
      </c>
      <c r="F12" s="72" t="s">
        <v>289</v>
      </c>
    </row>
    <row r="13" customFormat="false" ht="42" hidden="false" customHeight="true" outlineLevel="0" collapsed="false">
      <c r="B13" s="69" t="n">
        <v>7</v>
      </c>
      <c r="C13" s="59" t="s">
        <v>290</v>
      </c>
      <c r="D13" s="70" t="s">
        <v>291</v>
      </c>
      <c r="E13" s="71" t="s">
        <v>292</v>
      </c>
      <c r="F13" s="72" t="s">
        <v>293</v>
      </c>
    </row>
    <row r="14" customFormat="false" ht="42" hidden="false" customHeight="true" outlineLevel="0" collapsed="false">
      <c r="B14" s="69" t="n">
        <v>8</v>
      </c>
      <c r="C14" s="59" t="s">
        <v>294</v>
      </c>
      <c r="D14" s="70" t="s">
        <v>295</v>
      </c>
      <c r="E14" s="71" t="s">
        <v>296</v>
      </c>
      <c r="F14" s="72" t="s">
        <v>297</v>
      </c>
    </row>
    <row r="15" customFormat="false" ht="42" hidden="false" customHeight="true" outlineLevel="0" collapsed="false">
      <c r="B15" s="69" t="n">
        <v>9</v>
      </c>
      <c r="C15" s="59" t="s">
        <v>298</v>
      </c>
      <c r="D15" s="70" t="s">
        <v>299</v>
      </c>
      <c r="E15" s="71" t="s">
        <v>296</v>
      </c>
      <c r="F15" s="72" t="s">
        <v>300</v>
      </c>
    </row>
    <row r="17" customFormat="false" ht="15" hidden="false" customHeight="true" outlineLevel="0" collapsed="false">
      <c r="B17" s="73" t="s">
        <v>301</v>
      </c>
      <c r="C17" s="73"/>
      <c r="D17" s="73"/>
      <c r="E17" s="73"/>
      <c r="F17" s="73"/>
    </row>
    <row r="18" customFormat="false" ht="25.5" hidden="false" customHeight="true" outlineLevel="0" collapsed="false">
      <c r="B18" s="18" t="s">
        <v>302</v>
      </c>
      <c r="C18" s="18"/>
      <c r="D18" s="18"/>
      <c r="E18" s="18"/>
      <c r="F18" s="18"/>
    </row>
    <row r="19" customFormat="false" ht="25.5" hidden="false" customHeight="true" outlineLevel="0" collapsed="false">
      <c r="B19" s="17" t="s">
        <v>303</v>
      </c>
      <c r="C19" s="17"/>
      <c r="D19" s="17"/>
      <c r="E19" s="17"/>
      <c r="F19" s="17"/>
    </row>
    <row r="20" customFormat="false" ht="25.5" hidden="false" customHeight="true" outlineLevel="0" collapsed="false">
      <c r="B20" s="18" t="s">
        <v>304</v>
      </c>
      <c r="C20" s="18"/>
      <c r="D20" s="18"/>
      <c r="E20" s="18"/>
      <c r="F20" s="18"/>
    </row>
    <row r="21" customFormat="false" ht="25.5" hidden="false" customHeight="true" outlineLevel="0" collapsed="false">
      <c r="B21" s="17" t="s">
        <v>305</v>
      </c>
      <c r="C21" s="17"/>
      <c r="D21" s="17"/>
      <c r="E21" s="17"/>
      <c r="F21" s="17"/>
    </row>
    <row r="23" customFormat="false" ht="15" hidden="false" customHeight="true" outlineLevel="0" collapsed="false">
      <c r="B23" s="20" t="s">
        <v>306</v>
      </c>
      <c r="C23" s="20"/>
      <c r="D23" s="20"/>
      <c r="E23" s="20"/>
      <c r="F23" s="20"/>
    </row>
  </sheetData>
  <mergeCells count="9">
    <mergeCell ref="B2:F2"/>
    <mergeCell ref="B3:F3"/>
    <mergeCell ref="B4:F4"/>
    <mergeCell ref="B17:F17"/>
    <mergeCell ref="B18:F18"/>
    <mergeCell ref="B19:F19"/>
    <mergeCell ref="B20:F20"/>
    <mergeCell ref="B21:F21"/>
    <mergeCell ref="B23:F23"/>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F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5"/>
    <col collapsed="false" customWidth="true" hidden="false" outlineLevel="0" max="2" min="2" style="1" width="6"/>
    <col collapsed="false" customWidth="true" hidden="false" outlineLevel="0" max="3" min="3" style="1" width="46"/>
    <col collapsed="false" customWidth="true" hidden="false" outlineLevel="0" max="5" min="4" style="1" width="10"/>
    <col collapsed="false" customWidth="true" hidden="false" outlineLevel="0" max="6" min="6" style="1" width="16"/>
  </cols>
  <sheetData>
    <row r="2" customFormat="false" ht="27.75" hidden="false" customHeight="true" outlineLevel="0" collapsed="false">
      <c r="B2" s="74" t="s">
        <v>307</v>
      </c>
      <c r="C2" s="74"/>
      <c r="D2" s="74"/>
      <c r="E2" s="74"/>
      <c r="F2" s="74"/>
    </row>
    <row r="3" customFormat="false" ht="15" hidden="false" customHeight="true" outlineLevel="0" collapsed="false">
      <c r="B3" s="22" t="s">
        <v>308</v>
      </c>
      <c r="C3" s="22"/>
      <c r="D3" s="22"/>
      <c r="E3" s="22"/>
      <c r="F3" s="22"/>
    </row>
    <row r="4" customFormat="false" ht="15.75" hidden="false" customHeight="true" outlineLevel="0" collapsed="false">
      <c r="B4" s="75" t="str">
        <f aca="false">"Obra: "&amp;'Entrada de Dados'!$D$5</f>
        <v>Obra: Cobertura metálica — Maxi Limpeza</v>
      </c>
      <c r="C4" s="75"/>
      <c r="D4" s="75" t="str">
        <f aca="false">"Local: "&amp;'Entrada de Dados'!$D$6</f>
        <v>Local: Av. Alberto Carazzai, 965 — Cornélio Procópio/PR</v>
      </c>
      <c r="E4" s="75"/>
      <c r="F4" s="75"/>
    </row>
    <row r="6" customFormat="false" ht="19.5" hidden="false" customHeight="true" outlineLevel="0" collapsed="false">
      <c r="B6" s="12" t="s">
        <v>309</v>
      </c>
      <c r="C6" s="12"/>
      <c r="D6" s="12"/>
      <c r="E6" s="12"/>
      <c r="F6" s="12"/>
    </row>
    <row r="7" customFormat="false" ht="18" hidden="false" customHeight="true" outlineLevel="0" collapsed="false">
      <c r="B7" s="68" t="s">
        <v>310</v>
      </c>
      <c r="C7" s="68" t="s">
        <v>311</v>
      </c>
      <c r="D7" s="68" t="s">
        <v>312</v>
      </c>
      <c r="E7" s="68" t="s">
        <v>313</v>
      </c>
      <c r="F7" s="68" t="s">
        <v>314</v>
      </c>
    </row>
    <row r="8" customFormat="false" ht="19.5" hidden="false" customHeight="true" outlineLevel="0" collapsed="false">
      <c r="B8" s="69" t="n">
        <v>1</v>
      </c>
      <c r="C8" s="76" t="s">
        <v>315</v>
      </c>
      <c r="D8" s="77" t="n">
        <f aca="false">('Entrada de Dados'!$D$17+1)</f>
        <v>4</v>
      </c>
      <c r="E8" s="47" t="s">
        <v>58</v>
      </c>
      <c r="F8" s="72" t="s">
        <v>316</v>
      </c>
    </row>
    <row r="9" customFormat="false" ht="19.5" hidden="false" customHeight="true" outlineLevel="0" collapsed="false">
      <c r="B9" s="69" t="n">
        <v>2</v>
      </c>
      <c r="C9" s="76" t="s">
        <v>317</v>
      </c>
      <c r="D9" s="77" t="n">
        <f aca="false">('Entrada de Dados'!$D$17+1)</f>
        <v>4</v>
      </c>
      <c r="E9" s="47" t="s">
        <v>318</v>
      </c>
      <c r="F9" s="72" t="s">
        <v>319</v>
      </c>
    </row>
    <row r="10" customFormat="false" ht="19.5" hidden="false" customHeight="true" outlineLevel="0" collapsed="false">
      <c r="B10" s="69" t="n">
        <v>3</v>
      </c>
      <c r="C10" s="76" t="s">
        <v>320</v>
      </c>
      <c r="D10" s="77" t="n">
        <f aca="false">ROUND('Entrada de Dados'!$D$16*'Entrada de Dados'!$D$17*1.1,0)</f>
        <v>33</v>
      </c>
      <c r="E10" s="47" t="s">
        <v>56</v>
      </c>
      <c r="F10" s="72" t="s">
        <v>321</v>
      </c>
    </row>
    <row r="11" customFormat="false" ht="19.5" hidden="false" customHeight="true" outlineLevel="0" collapsed="false">
      <c r="B11" s="69" t="n">
        <v>4</v>
      </c>
      <c r="C11" s="76" t="s">
        <v>322</v>
      </c>
      <c r="D11" s="77" t="n">
        <f aca="false">'Entrada de Dados'!$D$17</f>
        <v>3</v>
      </c>
      <c r="E11" s="47" t="s">
        <v>58</v>
      </c>
      <c r="F11" s="72" t="s">
        <v>323</v>
      </c>
    </row>
    <row r="12" customFormat="false" ht="19.5" hidden="false" customHeight="true" outlineLevel="0" collapsed="false">
      <c r="B12" s="69" t="n">
        <v>5</v>
      </c>
      <c r="C12" s="76" t="s">
        <v>274</v>
      </c>
      <c r="D12" s="77" t="n">
        <f aca="false">IF('Entrada de Dados'!$D$34="Sim",'Entrada de Dados'!$D$17,0)</f>
        <v>3</v>
      </c>
      <c r="E12" s="47" t="s">
        <v>58</v>
      </c>
      <c r="F12" s="72" t="s">
        <v>324</v>
      </c>
    </row>
    <row r="13" customFormat="false" ht="19.5" hidden="false" customHeight="true" outlineLevel="0" collapsed="false">
      <c r="B13" s="69" t="n">
        <v>6</v>
      </c>
      <c r="C13" s="76" t="s">
        <v>325</v>
      </c>
      <c r="D13" s="77" t="n">
        <f aca="false">2*'Entrada de Dados'!$D$17</f>
        <v>6</v>
      </c>
      <c r="E13" s="47" t="s">
        <v>318</v>
      </c>
      <c r="F13" s="72" t="s">
        <v>326</v>
      </c>
    </row>
    <row r="14" customFormat="false" ht="19.5" hidden="false" customHeight="true" outlineLevel="0" collapsed="false">
      <c r="B14" s="69" t="n">
        <v>7</v>
      </c>
      <c r="C14" s="76" t="s">
        <v>327</v>
      </c>
      <c r="D14" s="77" t="n">
        <f aca="false">MAX(0,'Entrada de Dados'!$D$17-1)</f>
        <v>2</v>
      </c>
      <c r="E14" s="47" t="s">
        <v>58</v>
      </c>
      <c r="F14" s="72" t="s">
        <v>328</v>
      </c>
    </row>
    <row r="15" customFormat="false" ht="19.5" hidden="false" customHeight="true" outlineLevel="0" collapsed="false">
      <c r="B15" s="69" t="n">
        <v>8</v>
      </c>
      <c r="C15" s="76" t="s">
        <v>329</v>
      </c>
      <c r="D15" s="77" t="n">
        <f aca="false">1</f>
        <v>1</v>
      </c>
      <c r="E15" s="47" t="s">
        <v>58</v>
      </c>
      <c r="F15" s="72" t="s">
        <v>330</v>
      </c>
    </row>
    <row r="16" customFormat="false" ht="19.5" hidden="false" customHeight="true" outlineLevel="0" collapsed="false">
      <c r="B16" s="69" t="n">
        <v>9</v>
      </c>
      <c r="C16" s="76" t="s">
        <v>331</v>
      </c>
      <c r="D16" s="77" t="n">
        <f aca="false">4*('Entrada de Dados'!$D$17+1)</f>
        <v>16</v>
      </c>
      <c r="E16" s="47" t="s">
        <v>58</v>
      </c>
      <c r="F16" s="72" t="s">
        <v>332</v>
      </c>
    </row>
    <row r="18" customFormat="false" ht="19.5" hidden="false" customHeight="true" outlineLevel="0" collapsed="false">
      <c r="B18" s="12" t="s">
        <v>333</v>
      </c>
      <c r="C18" s="12"/>
      <c r="D18" s="12"/>
      <c r="E18" s="12"/>
      <c r="F18" s="12"/>
    </row>
    <row r="19" customFormat="false" ht="18" hidden="false" customHeight="true" outlineLevel="0" collapsed="false">
      <c r="B19" s="68" t="s">
        <v>310</v>
      </c>
      <c r="C19" s="68" t="s">
        <v>311</v>
      </c>
      <c r="D19" s="68" t="s">
        <v>312</v>
      </c>
      <c r="E19" s="68" t="s">
        <v>313</v>
      </c>
      <c r="F19" s="68" t="s">
        <v>265</v>
      </c>
    </row>
    <row r="20" customFormat="false" ht="21.75" hidden="false" customHeight="true" outlineLevel="0" collapsed="false">
      <c r="B20" s="69" t="n">
        <v>1</v>
      </c>
      <c r="C20" s="76" t="s">
        <v>334</v>
      </c>
      <c r="D20" s="77" t="n">
        <f aca="false">'Entrada de Dados'!$D$27</f>
        <v>1</v>
      </c>
      <c r="E20" s="47" t="s">
        <v>58</v>
      </c>
      <c r="F20" s="72" t="s">
        <v>335</v>
      </c>
    </row>
    <row r="21" customFormat="false" ht="21.75" hidden="false" customHeight="true" outlineLevel="0" collapsed="false">
      <c r="B21" s="69" t="n">
        <v>2</v>
      </c>
      <c r="C21" s="76" t="s">
        <v>336</v>
      </c>
      <c r="D21" s="77" t="n">
        <f aca="false">'Entrada de Dados'!$D$27</f>
        <v>1</v>
      </c>
      <c r="E21" s="47" t="s">
        <v>58</v>
      </c>
      <c r="F21" s="72" t="s">
        <v>337</v>
      </c>
    </row>
    <row r="22" customFormat="false" ht="21.75" hidden="false" customHeight="true" outlineLevel="0" collapsed="false">
      <c r="B22" s="69" t="n">
        <v>3</v>
      </c>
      <c r="C22" s="76" t="s">
        <v>338</v>
      </c>
      <c r="D22" s="77" t="n">
        <f aca="false">'Entrada de Dados'!$D$27</f>
        <v>1</v>
      </c>
      <c r="E22" s="47" t="s">
        <v>58</v>
      </c>
      <c r="F22" s="72" t="s">
        <v>339</v>
      </c>
    </row>
    <row r="23" customFormat="false" ht="21.75" hidden="false" customHeight="true" outlineLevel="0" collapsed="false">
      <c r="B23" s="69" t="n">
        <v>4</v>
      </c>
      <c r="C23" s="76" t="s">
        <v>340</v>
      </c>
      <c r="D23" s="77" t="n">
        <f aca="false">'Entrada de Dados'!$D$27</f>
        <v>1</v>
      </c>
      <c r="E23" s="47" t="s">
        <v>58</v>
      </c>
      <c r="F23" s="72" t="s">
        <v>341</v>
      </c>
    </row>
    <row r="24" customFormat="false" ht="21.75" hidden="false" customHeight="true" outlineLevel="0" collapsed="false">
      <c r="B24" s="69" t="n">
        <v>5</v>
      </c>
      <c r="C24" s="76" t="s">
        <v>342</v>
      </c>
      <c r="D24" s="77" t="n">
        <f aca="false">2*'Entrada de Dados'!$D$27</f>
        <v>2</v>
      </c>
      <c r="E24" s="47" t="s">
        <v>58</v>
      </c>
      <c r="F24" s="72" t="s">
        <v>343</v>
      </c>
    </row>
    <row r="25" customFormat="false" ht="21.75" hidden="false" customHeight="true" outlineLevel="0" collapsed="false">
      <c r="B25" s="69" t="n">
        <v>6</v>
      </c>
      <c r="C25" s="76" t="s">
        <v>344</v>
      </c>
      <c r="D25" s="77" t="n">
        <f aca="false">'Entrada de Dados'!$D$27</f>
        <v>1</v>
      </c>
      <c r="E25" s="47" t="s">
        <v>345</v>
      </c>
      <c r="F25" s="72" t="s">
        <v>346</v>
      </c>
    </row>
    <row r="27" customFormat="false" ht="25.5" hidden="false" customHeight="true" outlineLevel="0" collapsed="false">
      <c r="B27" s="20" t="s">
        <v>347</v>
      </c>
      <c r="C27" s="20"/>
      <c r="D27" s="20"/>
      <c r="E27" s="20"/>
      <c r="F27" s="20"/>
    </row>
    <row r="30" customFormat="false" ht="15" hidden="false" customHeight="true" outlineLevel="0" collapsed="false">
      <c r="C30" s="78" t="s">
        <v>348</v>
      </c>
      <c r="D30" s="78"/>
      <c r="E30" s="78"/>
    </row>
    <row r="31" customFormat="false" ht="15" hidden="false" customHeight="true" outlineLevel="0" collapsed="false">
      <c r="C31" s="42" t="str">
        <f aca="false">"Resp. técnico:  "&amp;'Entrada de Dados'!$D$7</f>
        <v>Resp. técnico:  Gustavo F. F. Domingos — CREA 140.964-D/PR</v>
      </c>
      <c r="D31" s="42"/>
      <c r="E31" s="42"/>
    </row>
  </sheetData>
  <mergeCells count="9">
    <mergeCell ref="B2:F2"/>
    <mergeCell ref="B3:F3"/>
    <mergeCell ref="B4:C4"/>
    <mergeCell ref="D4:F4"/>
    <mergeCell ref="B6:F6"/>
    <mergeCell ref="B18:F18"/>
    <mergeCell ref="B27:F27"/>
    <mergeCell ref="C30:E30"/>
    <mergeCell ref="C31:E31"/>
  </mergeCells>
  <printOptions headings="false" gridLines="false" gridLinesSet="true" horizontalCentered="false" verticalCentered="false"/>
  <pageMargins left="0.4" right="0.4"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H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10"/>
    <col collapsed="false" customWidth="true" hidden="false" outlineLevel="0" max="8" min="3" style="0" width="13"/>
  </cols>
  <sheetData>
    <row r="2" customFormat="false" ht="24" hidden="false" customHeight="true" outlineLevel="0" collapsed="false"/>
    <row r="3" customFormat="false" ht="24" hidden="false" customHeight="true" outlineLevel="0" collapsed="false"/>
    <row r="5" customFormat="false" ht="25.5" hidden="false" customHeight="true" outlineLevel="0" collapsed="false">
      <c r="B5" s="79" t="s">
        <v>349</v>
      </c>
      <c r="C5" s="79"/>
      <c r="D5" s="79"/>
      <c r="E5" s="79"/>
      <c r="F5" s="79"/>
      <c r="G5" s="79"/>
      <c r="H5" s="79"/>
    </row>
    <row r="6" customFormat="false" ht="13.5" hidden="false" customHeight="true" outlineLevel="0" collapsed="false">
      <c r="B6" s="80" t="s">
        <v>350</v>
      </c>
      <c r="C6" s="80"/>
      <c r="D6" s="80"/>
      <c r="E6" s="80"/>
      <c r="F6" s="80"/>
      <c r="G6" s="80"/>
      <c r="H6" s="80"/>
    </row>
    <row r="7" customFormat="false" ht="15" hidden="false" customHeight="false" outlineLevel="0" collapsed="false">
      <c r="B7" s="81"/>
      <c r="C7" s="81"/>
      <c r="D7" s="81"/>
      <c r="E7" s="81"/>
      <c r="F7" s="81"/>
      <c r="G7" s="81"/>
      <c r="H7" s="81"/>
    </row>
    <row r="9" customFormat="false" ht="19.5" hidden="false" customHeight="true" outlineLevel="0" collapsed="false">
      <c r="B9" s="8" t="s">
        <v>351</v>
      </c>
      <c r="C9" s="8"/>
      <c r="D9" s="8"/>
      <c r="E9" s="8"/>
      <c r="F9" s="8"/>
      <c r="G9" s="8"/>
      <c r="H9" s="8"/>
    </row>
    <row r="10" customFormat="false" ht="15" hidden="false" customHeight="true" outlineLevel="0" collapsed="false">
      <c r="B10" s="82" t="s">
        <v>39</v>
      </c>
      <c r="C10" s="82"/>
      <c r="D10" s="83" t="str">
        <f aca="false">'Entrada de Dados'!$D$5</f>
        <v>Cobertura metálica — Maxi Limpeza</v>
      </c>
      <c r="E10" s="83"/>
      <c r="F10" s="83"/>
      <c r="G10" s="83"/>
      <c r="H10" s="83"/>
    </row>
    <row r="11" customFormat="false" ht="15" hidden="false" customHeight="true" outlineLevel="0" collapsed="false">
      <c r="B11" s="82" t="s">
        <v>41</v>
      </c>
      <c r="C11" s="82"/>
      <c r="D11" s="83" t="str">
        <f aca="false">'Entrada de Dados'!$D$6</f>
        <v>Av. Alberto Carazzai, 965 — Cornélio Procópio/PR</v>
      </c>
      <c r="E11" s="83"/>
      <c r="F11" s="83"/>
      <c r="G11" s="83"/>
      <c r="H11" s="83"/>
    </row>
    <row r="12" customFormat="false" ht="15" hidden="false" customHeight="true" outlineLevel="0" collapsed="false">
      <c r="B12" s="82" t="s">
        <v>352</v>
      </c>
      <c r="C12" s="82"/>
      <c r="D12" s="83" t="str">
        <f aca="false">'Entrada de Dados'!$D$7</f>
        <v>Gustavo F. F. Domingos — CREA 140.964-D/PR</v>
      </c>
      <c r="E12" s="83"/>
      <c r="F12" s="83"/>
      <c r="G12" s="83"/>
      <c r="H12" s="83"/>
    </row>
    <row r="13" customFormat="false" ht="15" hidden="false" customHeight="true" outlineLevel="0" collapsed="false">
      <c r="B13" s="82" t="s">
        <v>45</v>
      </c>
      <c r="C13" s="82"/>
      <c r="D13" s="83" t="str">
        <f aca="false">'Entrada de Dados'!$D$8</f>
        <v>24/06/2026</v>
      </c>
      <c r="E13" s="83"/>
      <c r="F13" s="83"/>
      <c r="G13" s="83"/>
      <c r="H13" s="83"/>
    </row>
    <row r="15" customFormat="false" ht="19.5" hidden="false" customHeight="true" outlineLevel="0" collapsed="false">
      <c r="B15" s="8" t="s">
        <v>353</v>
      </c>
      <c r="C15" s="8"/>
      <c r="D15" s="8"/>
      <c r="E15" s="8"/>
      <c r="F15" s="8"/>
      <c r="G15" s="8"/>
      <c r="H15" s="8"/>
    </row>
    <row r="16" customFormat="false" ht="72" hidden="false" customHeight="true" outlineLevel="0" collapsed="false">
      <c r="B16" s="84" t="str">
        <f aca="false">"O presente memorial descritivo refere-se ao projeto da Linha de Vida Horizontal a ser instalada na obra "&amp;'Entrada de Dados'!$D$5&amp;", situada em "&amp;'Entrada de Dados'!$D$6&amp;". O sistema integra o conjunto de medidas de proteção contra quedas de altura (SPIQ), permitindo o deslocamento seguro de trabalhadores durante as atividades realizadas no local."</f>
        <v>O presente memorial descritivo refere-se ao projeto da Linha de Vida Horizontal a ser instalada na obra Cobertura metálica — Maxi Limpeza, situada em Av. Alberto Carazzai, 965 — Cornélio Procópio/PR. O sistema integra o conjunto de medidas de proteção contra quedas de altura (SPIQ), permitindo o deslocamento seguro de trabalhadores durante as atividades realizadas no local.</v>
      </c>
      <c r="C16" s="84"/>
      <c r="D16" s="84"/>
      <c r="E16" s="84"/>
      <c r="F16" s="84"/>
      <c r="G16" s="84"/>
      <c r="H16" s="84"/>
    </row>
    <row r="18" customFormat="false" ht="19.5" hidden="false" customHeight="true" outlineLevel="0" collapsed="false">
      <c r="B18" s="8" t="s">
        <v>354</v>
      </c>
      <c r="C18" s="8"/>
      <c r="D18" s="8"/>
      <c r="E18" s="8"/>
      <c r="F18" s="8"/>
      <c r="G18" s="8"/>
      <c r="H18" s="8"/>
    </row>
    <row r="19" customFormat="false" ht="45" hidden="false" customHeight="true" outlineLevel="0" collapsed="false">
      <c r="B19" s="84" t="str">
        <f aca="false">"O projeto observa a NR-35 (Trabalho em Altura), a NR-18 (Indústria da Construção), as ABNT NBR 16325-1 e 16325-2 (dispositivos de ancoragem) e a ABNT NBR 8800 (estruturas de aço), no que couber ao dimensionamento dos postes de ancoragem."</f>
        <v>O projeto observa a NR-35 (Trabalho em Altura), a NR-18 (Indústria da Construção), as ABNT NBR 16325-1 e 16325-2 (dispositivos de ancoragem) e a ABNT NBR 8800 (estruturas de aço), no que couber ao dimensionamento dos postes de ancoragem.</v>
      </c>
      <c r="C19" s="84"/>
      <c r="D19" s="84"/>
      <c r="E19" s="84"/>
      <c r="F19" s="84"/>
      <c r="G19" s="84"/>
      <c r="H19" s="84"/>
    </row>
    <row r="21" customFormat="false" ht="19.5" hidden="false" customHeight="true" outlineLevel="0" collapsed="false">
      <c r="B21" s="8" t="s">
        <v>355</v>
      </c>
      <c r="C21" s="8"/>
      <c r="D21" s="8"/>
      <c r="E21" s="8"/>
      <c r="F21" s="8"/>
      <c r="G21" s="8"/>
      <c r="H21" s="8"/>
    </row>
    <row r="22" customFormat="false" ht="58.5" hidden="false" customHeight="true" outlineLevel="0" collapsed="false">
      <c r="B22" s="84" t="str">
        <f aca="false">"A instalação será executada "&amp;IF('Entrada de Dados'!$D$11="Cobertura","sobre cobertura (telhado), com os postes de ancoragem fixados às terças ou à laje sob a telha",IF('Entrada de Dados'!$D$11="Estrutura","sobre estrutura metálica ou de concreto existente, com ancoragem por chapa soldada, grampo ou chumbador","em solo ou talude, com os postes apoiados em blocos de fundação de concreto dimensionados ao tombamento"))&amp;". O substrato a proteger é do tipo "&amp;'Entrada de Dados'!$D$12&amp;". O ambiente foi classificado como "&amp;'Entrada de Dados'!$D$13&amp;", parâmetro que orienta a seleção do material dos componentes quanto à resistência à corrosão."</f>
        <v>A instalação será executada sobre cobertura (telhado), com os postes de ancoragem fixados às terças ou à laje sob a telha. O substrato a proteger é do tipo Telha trapezoidal metálica. O ambiente foi classificado como Industrial/Litorâneo (C4-C5), parâmetro que orienta a seleção do material dos componentes quanto à resistência à corrosão.</v>
      </c>
      <c r="C22" s="84"/>
      <c r="D22" s="84"/>
      <c r="E22" s="84"/>
      <c r="F22" s="84"/>
      <c r="G22" s="84"/>
      <c r="H22" s="84"/>
    </row>
    <row r="24" customFormat="false" ht="19.5" hidden="false" customHeight="true" outlineLevel="0" collapsed="false">
      <c r="B24" s="8" t="s">
        <v>356</v>
      </c>
      <c r="C24" s="8"/>
      <c r="D24" s="8"/>
      <c r="E24" s="8"/>
      <c r="F24" s="8"/>
      <c r="G24" s="8"/>
      <c r="H24" s="8"/>
    </row>
    <row r="25" customFormat="false" ht="58.5" hidden="false" customHeight="true" outlineLevel="0" collapsed="false">
      <c r="B25" s="84" t="str">
        <f aca="false">"O sistema é composto por um cabo de aço tensionado entre "&amp;SUBSTITUTE(TEXT(('Entrada de Dados'!$D$17+1),"0"),".",",")&amp;" postes de ancoragem, distribuídos em "&amp;SUBSTITUTE(TEXT('Entrada de Dados'!$D$17,"0"),".",",")&amp;" vão(s) de "&amp;SUBSTITUTE(TEXT('Entrada de Dados'!$D$16,"0.00"),".",",")&amp;" m cada. Os postes têm altura de "&amp;SUBSTITUTE(TEXT('Entrada de Dados'!$D$18,"0.00"),".",",")&amp;" m acima da base. O cabo possui diâmetro de "&amp;SUBSTITUTE(TEXT('Entrada de Dados'!$D$23,"0"),".",",")&amp;" mm e é instalado com pré-tensão de "&amp;SUBSTITUTE(TEXT('Entrada de Dados'!$D$24,"0.00"),".",",")&amp;" kN. O trabalhador conecta-se ao cabo por trava-quedas deslizante, ligado ao cinturão tipo paraquedista por talabarte com absorvedor de energia."</f>
        <v>O sistema é composto por um cabo de aço tensionado entre 4 postes de ancoragem, distribuídos em 3 vão(s) de 10,00 m cada. Os postes têm altura de 1,20 m acima da base. O cabo possui diâmetro de 10 mm e é instalado com pré-tensão de 1,00 kN. O trabalhador conecta-se ao cabo por trava-quedas deslizante, ligado ao cinturão tipo paraquedista por talabarte com absorvedor de energia.</v>
      </c>
      <c r="C25" s="84"/>
      <c r="D25" s="84"/>
      <c r="E25" s="84"/>
      <c r="F25" s="84"/>
      <c r="G25" s="84"/>
      <c r="H25" s="84"/>
    </row>
    <row r="27" customFormat="false" ht="19.5" hidden="false" customHeight="true" outlineLevel="0" collapsed="false">
      <c r="B27" s="8" t="s">
        <v>357</v>
      </c>
      <c r="C27" s="8"/>
      <c r="D27" s="8"/>
      <c r="E27" s="8"/>
      <c r="F27" s="8"/>
      <c r="G27" s="8"/>
      <c r="H27" s="8"/>
    </row>
    <row r="28" customFormat="false" ht="58.5" hidden="false" customHeight="true" outlineLevel="0" collapsed="false">
      <c r="B28" s="84" t="str">
        <f aca="false">"Os componentes (cabo, esticador, terminações, absorvedores, placas e postes) serão executados em "&amp;IF(ISNUMBER(SEARCH("Inox",'Entrada de Dados'!$D$22)),"aço inoxidável AISI 316, recomendado para ambientes de maior agressividade (categorias de corrosividade C4–C5), por sua durabilidade e baixa manutenção","aço galvanizado a fogo, de melhor custo-benefício, adequado a ambientes abrigados e de menor agressividade (C2–C3), com inspeção periódica do revestimento")&amp;". A especificação completa, com as duas alternativas de material, consta da aba «Materiais» desta ferramenta."</f>
        <v>Os componentes (cabo, esticador, terminações, absorvedores, placas e postes) serão executados em aço inoxidável AISI 316, recomendado para ambientes de maior agressividade (categorias de corrosividade C4–C5), por sua durabilidade e baixa manutenção. A especificação completa, com as duas alternativas de material, consta da aba «Materiais» desta ferramenta.</v>
      </c>
      <c r="C28" s="84"/>
      <c r="D28" s="84"/>
      <c r="E28" s="84"/>
      <c r="F28" s="84"/>
      <c r="G28" s="84"/>
      <c r="H28" s="84"/>
    </row>
    <row r="30" customFormat="false" ht="19.5" hidden="false" customHeight="true" outlineLevel="0" collapsed="false">
      <c r="B30" s="8" t="s">
        <v>358</v>
      </c>
      <c r="C30" s="8"/>
      <c r="D30" s="8"/>
      <c r="E30" s="8"/>
      <c r="F30" s="8"/>
      <c r="G30" s="8"/>
      <c r="H30" s="8"/>
    </row>
    <row r="31" customFormat="false" ht="58.5" hidden="false" customHeight="true" outlineLevel="0" collapsed="false">
      <c r="B31" s="84" t="str">
        <f aca="false">"A utilização do sistema exige o uso integral dos EPI especificados (cinturão paraquedista, talabarte com absorvedor, trava-quedas, capacete com jugular e conectores), todos com CA válido, além de capacitação dos trabalhadores conforme a NR-35. O sistema deve ser submetido a inspeções inicial e periódica."</f>
        <v>A utilização do sistema exige o uso integral dos EPI especificados (cinturão paraquedista, talabarte com absorvedor, trava-quedas, capacete com jugular e conectores), todos com CA válido, além de capacitação dos trabalhadores conforme a NR-35. O sistema deve ser submetido a inspeções inicial e periódica.</v>
      </c>
      <c r="C31" s="84"/>
      <c r="D31" s="84"/>
      <c r="E31" s="84"/>
      <c r="F31" s="84"/>
      <c r="G31" s="84"/>
      <c r="H31" s="84"/>
    </row>
    <row r="44" customFormat="false" ht="15" hidden="false" customHeight="true" outlineLevel="0" collapsed="false">
      <c r="B44" s="85" t="s">
        <v>359</v>
      </c>
      <c r="C44" s="85"/>
      <c r="D44" s="85"/>
      <c r="E44" s="85"/>
      <c r="F44" s="85"/>
      <c r="G44" s="85"/>
      <c r="H44" s="85"/>
    </row>
    <row r="46" customFormat="false" ht="19.5" hidden="false" customHeight="true" outlineLevel="0" collapsed="false">
      <c r="B46" s="8" t="s">
        <v>360</v>
      </c>
      <c r="C46" s="8"/>
      <c r="D46" s="8"/>
      <c r="E46" s="8"/>
      <c r="F46" s="8"/>
      <c r="G46" s="8"/>
      <c r="H46" s="8"/>
    </row>
    <row r="47" customFormat="false" ht="31.5" hidden="false" customHeight="true" outlineLevel="0" collapsed="false">
      <c r="B47" s="84" t="str">
        <f aca="false">"A liberação para uso fica condicionada à correta instalação por equipe capacitada e à realização dos ensaios de carga das ancoragens (NR-35 / NBR 16325)."</f>
        <v>A liberação para uso fica condicionada à correta instalação por equipe capacitada e à realização dos ensaios de carga das ancoragens (NR-35 / NBR 16325).</v>
      </c>
      <c r="C47" s="84"/>
      <c r="D47" s="84"/>
      <c r="E47" s="84"/>
      <c r="F47" s="84"/>
      <c r="G47" s="84"/>
      <c r="H47" s="84"/>
    </row>
    <row r="49" customFormat="false" ht="15" hidden="false" customHeight="false" outlineLevel="0" collapsed="false">
      <c r="B49" s="86" t="str">
        <f aca="false">"Cornélio Procópio/PR, "&amp;'Entrada de Dados'!$D$8</f>
        <v>Cornélio Procópio/PR, 24/06/2026</v>
      </c>
      <c r="C49" s="86"/>
      <c r="D49" s="86"/>
      <c r="E49" s="86"/>
      <c r="F49" s="86"/>
      <c r="G49" s="86"/>
      <c r="H49" s="86"/>
    </row>
    <row r="51" customFormat="false" ht="15" hidden="false" customHeight="true" outlineLevel="0" collapsed="false">
      <c r="C51" s="87" t="s">
        <v>348</v>
      </c>
      <c r="D51" s="87"/>
      <c r="E51" s="87"/>
      <c r="F51" s="87"/>
      <c r="G51" s="87"/>
    </row>
    <row r="52" customFormat="false" ht="15" hidden="false" customHeight="false" outlineLevel="0" collapsed="false">
      <c r="C52" s="88" t="str">
        <f aca="false">'Entrada de Dados'!$D$7</f>
        <v>Gustavo F. F. Domingos — CREA 140.964-D/PR</v>
      </c>
      <c r="D52" s="88"/>
      <c r="E52" s="88"/>
      <c r="F52" s="88"/>
      <c r="G52" s="88"/>
    </row>
    <row r="53" customFormat="false" ht="15" hidden="false" customHeight="true" outlineLevel="0" collapsed="false">
      <c r="C53" s="7" t="s">
        <v>361</v>
      </c>
      <c r="D53" s="7"/>
      <c r="E53" s="7"/>
      <c r="F53" s="7"/>
      <c r="G53" s="7"/>
    </row>
    <row r="54" customFormat="false" ht="15" hidden="false" customHeight="true" outlineLevel="0" collapsed="false">
      <c r="C54" s="7" t="s">
        <v>362</v>
      </c>
      <c r="D54" s="7"/>
      <c r="E54" s="7"/>
      <c r="F54" s="7"/>
      <c r="G54" s="7"/>
    </row>
  </sheetData>
  <mergeCells count="31">
    <mergeCell ref="B5:H5"/>
    <mergeCell ref="B6:H6"/>
    <mergeCell ref="B9:H9"/>
    <mergeCell ref="B10:C10"/>
    <mergeCell ref="D10:H10"/>
    <mergeCell ref="B11:C11"/>
    <mergeCell ref="D11:H11"/>
    <mergeCell ref="B12:C12"/>
    <mergeCell ref="D12:H12"/>
    <mergeCell ref="B13:C13"/>
    <mergeCell ref="D13:H13"/>
    <mergeCell ref="B15:H15"/>
    <mergeCell ref="B16:H16"/>
    <mergeCell ref="B18:H18"/>
    <mergeCell ref="B19:H19"/>
    <mergeCell ref="B21:H21"/>
    <mergeCell ref="B22:H22"/>
    <mergeCell ref="B24:H24"/>
    <mergeCell ref="B25:H25"/>
    <mergeCell ref="B27:H27"/>
    <mergeCell ref="B28:H28"/>
    <mergeCell ref="B30:H30"/>
    <mergeCell ref="B31:H31"/>
    <mergeCell ref="B44:H44"/>
    <mergeCell ref="B46:H46"/>
    <mergeCell ref="B47:H47"/>
    <mergeCell ref="B49:H49"/>
    <mergeCell ref="C51:G51"/>
    <mergeCell ref="C52:G52"/>
    <mergeCell ref="C53:G53"/>
    <mergeCell ref="C54:G54"/>
  </mergeCells>
  <printOptions headings="false" gridLines="false" gridLinesSet="true" horizontalCentered="false" verticalCentered="false"/>
  <pageMargins left="0.5" right="0.5" top="0.5" bottom="0.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H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10"/>
    <col collapsed="false" customWidth="true" hidden="false" outlineLevel="0" max="8" min="3" style="0" width="13"/>
  </cols>
  <sheetData>
    <row r="2" customFormat="false" ht="24" hidden="false" customHeight="true" outlineLevel="0" collapsed="false"/>
    <row r="3" customFormat="false" ht="24" hidden="false" customHeight="true" outlineLevel="0" collapsed="false"/>
    <row r="5" customFormat="false" ht="25.5" hidden="false" customHeight="true" outlineLevel="0" collapsed="false">
      <c r="B5" s="79" t="s">
        <v>363</v>
      </c>
      <c r="C5" s="79"/>
      <c r="D5" s="79"/>
      <c r="E5" s="79"/>
      <c r="F5" s="79"/>
      <c r="G5" s="79"/>
      <c r="H5" s="79"/>
    </row>
    <row r="6" customFormat="false" ht="13.5" hidden="false" customHeight="true" outlineLevel="0" collapsed="false">
      <c r="B6" s="80" t="s">
        <v>350</v>
      </c>
      <c r="C6" s="80"/>
      <c r="D6" s="80"/>
      <c r="E6" s="80"/>
      <c r="F6" s="80"/>
      <c r="G6" s="80"/>
      <c r="H6" s="80"/>
    </row>
    <row r="7" customFormat="false" ht="15" hidden="false" customHeight="false" outlineLevel="0" collapsed="false">
      <c r="B7" s="81"/>
      <c r="C7" s="81"/>
      <c r="D7" s="81"/>
      <c r="E7" s="81"/>
      <c r="F7" s="81"/>
      <c r="G7" s="81"/>
      <c r="H7" s="81"/>
    </row>
    <row r="9" customFormat="false" ht="19.5" hidden="false" customHeight="true" outlineLevel="0" collapsed="false">
      <c r="B9" s="8" t="s">
        <v>351</v>
      </c>
      <c r="C9" s="8"/>
      <c r="D9" s="8"/>
      <c r="E9" s="8"/>
      <c r="F9" s="8"/>
      <c r="G9" s="8"/>
      <c r="H9" s="8"/>
    </row>
    <row r="10" customFormat="false" ht="15" hidden="false" customHeight="true" outlineLevel="0" collapsed="false">
      <c r="B10" s="82" t="s">
        <v>39</v>
      </c>
      <c r="C10" s="82"/>
      <c r="D10" s="83" t="str">
        <f aca="false">'Entrada de Dados'!$D$5</f>
        <v>Cobertura metálica — Maxi Limpeza</v>
      </c>
      <c r="E10" s="83"/>
      <c r="F10" s="83"/>
      <c r="G10" s="83"/>
      <c r="H10" s="83"/>
    </row>
    <row r="11" customFormat="false" ht="15" hidden="false" customHeight="true" outlineLevel="0" collapsed="false">
      <c r="B11" s="82" t="s">
        <v>41</v>
      </c>
      <c r="C11" s="82"/>
      <c r="D11" s="83" t="str">
        <f aca="false">'Entrada de Dados'!$D$6</f>
        <v>Av. Alberto Carazzai, 965 — Cornélio Procópio/PR</v>
      </c>
      <c r="E11" s="83"/>
      <c r="F11" s="83"/>
      <c r="G11" s="83"/>
      <c r="H11" s="83"/>
    </row>
    <row r="12" customFormat="false" ht="15" hidden="false" customHeight="true" outlineLevel="0" collapsed="false">
      <c r="B12" s="82" t="s">
        <v>45</v>
      </c>
      <c r="C12" s="82"/>
      <c r="D12" s="83" t="str">
        <f aca="false">'Entrada de Dados'!$D$8</f>
        <v>24/06/2026</v>
      </c>
      <c r="E12" s="83"/>
      <c r="F12" s="83"/>
      <c r="G12" s="83"/>
      <c r="H12" s="83"/>
    </row>
    <row r="14" customFormat="false" ht="19.5" hidden="false" customHeight="true" outlineLevel="0" collapsed="false">
      <c r="B14" s="8" t="s">
        <v>364</v>
      </c>
      <c r="C14" s="8"/>
      <c r="D14" s="8"/>
      <c r="E14" s="8"/>
      <c r="F14" s="8"/>
      <c r="G14" s="8"/>
      <c r="H14" s="8"/>
    </row>
    <row r="15" customFormat="false" ht="72" hidden="false" customHeight="true" outlineLevel="0" collapsed="false">
      <c r="B15" s="84" t="str">
        <f aca="false">"Adotam-se os seguintes critérios normativos: força de impacto transmitida ao trabalhador limitada a 6 kN (NR-35, item 35.6.7); fator de segurança dinâmico do cabo (carga de ruptura sobre tração) maior ou igual a 2; carga de ruptura do cabo de aço maior ou igual a 5 vezes a carga de trabalho (NR-18, Anexo II); dispositivo de ancoragem resistente a, no mínimo, 15 kN (NR-18, item 18.12.12.2); e coeficientes da NBR 8800 (γf = 1,40 e γa1 = 1,10) no dimensionamento dos postes."</f>
        <v>Adotam-se os seguintes critérios normativos: força de impacto transmitida ao trabalhador limitada a 6 kN (NR-35, item 35.6.7); fator de segurança dinâmico do cabo (carga de ruptura sobre tração) maior ou igual a 2; carga de ruptura do cabo de aço maior ou igual a 5 vezes a carga de trabalho (NR-18, Anexo II); dispositivo de ancoragem resistente a, no mínimo, 15 kN (NR-18, item 18.12.12.2); e coeficientes da NBR 8800 (γf = 1,40 e γa1 = 1,10) no dimensionamento dos postes.</v>
      </c>
      <c r="C15" s="84"/>
      <c r="D15" s="84"/>
      <c r="E15" s="84"/>
      <c r="F15" s="84"/>
      <c r="G15" s="84"/>
      <c r="H15" s="84"/>
    </row>
    <row r="17" customFormat="false" ht="19.5" hidden="false" customHeight="true" outlineLevel="0" collapsed="false">
      <c r="B17" s="8" t="s">
        <v>365</v>
      </c>
      <c r="C17" s="8"/>
      <c r="D17" s="8"/>
      <c r="E17" s="8"/>
      <c r="F17" s="8"/>
      <c r="G17" s="8"/>
      <c r="H17" s="8"/>
    </row>
    <row r="18" customFormat="false" ht="58.5" hidden="false" customHeight="true" outlineLevel="0" collapsed="false">
      <c r="B18" s="84" t="str">
        <f aca="false">"Vão entre postes L = "&amp;SUBSTITUTE(TEXT('Entrada de Dados'!$D$16,"0.00"),".",",")&amp;" m; cabo de aço de diâmetro "&amp;SUBSTITUTE(TEXT('Entrada de Dados'!$D$23,"0"),".",",")&amp;" mm em "&amp;'Entrada de Dados'!$D$22&amp;", com carga de ruptura de "&amp;SUBSTITUTE(TEXT(Cálculo!$F$12,"0.0"),".",",")&amp;" kN e pré-tensão de instalação de "&amp;SUBSTITUTE(TEXT('Entrada de Dados'!$D$24,"0.00"),".",",")&amp;" kN. Número de usuários simultâneos n = "&amp;SUBSTITUTE(TEXT('Entrada de Dados'!$D$27,"0"),".",",")&amp;". Força de impacto no trabalhador Fₜ = "&amp;SUBSTITUTE(TEXT('Entrada de Dados'!$D$28,"0.0"),".",",")&amp;" kN. "&amp;IF('Entrada de Dados'!$D$34="Sim","Foi adotado absorvedor de energia na linha, que limita a tração máxima a "&amp;SUBSTITUTE(TEXT('Entrada de Dados'!$D$35,"0.0"),".",",")&amp;" kN","Não foi adotado absorvedor de energia na linha")&amp;"."</f>
        <v>Vão entre postes L = 10,00 m; cabo de aço de diâmetro 10 mm em Inox AISI 316, com carga de ruptura de 63,0 kN e pré-tensão de instalação de 1,00 kN. Número de usuários simultâneos n = 1. Força de impacto no trabalhador Fₜ = 6,0 kN. Foi adotado absorvedor de energia na linha, que limita a tração máxima a 12,0 kN.</v>
      </c>
      <c r="C18" s="84"/>
      <c r="D18" s="84"/>
      <c r="E18" s="84"/>
      <c r="F18" s="84"/>
      <c r="G18" s="84"/>
      <c r="H18" s="84"/>
    </row>
    <row r="20" customFormat="false" ht="19.5" hidden="false" customHeight="true" outlineLevel="0" collapsed="false">
      <c r="B20" s="8" t="s">
        <v>366</v>
      </c>
      <c r="C20" s="8"/>
      <c r="D20" s="8"/>
      <c r="E20" s="8"/>
      <c r="F20" s="8"/>
      <c r="G20" s="8"/>
      <c r="H20" s="8"/>
    </row>
    <row r="21" customFormat="false" ht="58.5" hidden="false" customHeight="true" outlineLevel="0" collapsed="false">
      <c r="B21" s="84" t="str">
        <f aca="false">"A carga aplicada à linha é Q = n × Fₜ = "&amp;SUBSTITUTE(TEXT(Cálculo!$F$22,"0.0"),".",",")&amp;" kN. Resolvendo o equilíbrio (Q = 2·T·senθ) com a compatibilidade elástica do cabo pelo método de Newton-Raphson, obtém-se a tração elástica de "&amp;SUBSTITUTE(TEXT(Cálculo!$F$37,"0.00"),".",",")&amp;" kN. "&amp;IF('Entrada de Dados'!$D$34="Sim","Como o absorvedor de linha atua, a tração máxima é limitada a "&amp;SUBSTITUTE(TEXT(Cálculo!$F$39,"0.00"),".",",")&amp;" kN","A tração máxima resulta em "&amp;SUBSTITUTE(TEXT(Cálculo!$F$39,"0.00"),".",",")&amp;" kN")&amp;", correspondente a um ângulo de "&amp;SUBSTITUTE(TEXT(Cálculo!$F$41,"0.0"),".",",")&amp;"° com a horizontal e flecha total de "&amp;SUBSTITUTE(TEXT(Cálculo!$F$44,"0.00"),".",",")&amp;" m."</f>
        <v>A carga aplicada à linha é Q = n × Fₜ = 6,0 kN. Resolvendo o equilíbrio (Q = 2·T·senθ) com a compatibilidade elástica do cabo pelo método de Newton-Raphson, obtém-se a tração elástica de 29,80 kN. Como o absorvedor de linha atua, a tração máxima é limitada a 12,00 kN, correspondente a um ângulo de 14,5° com a horizontal e flecha total de 1,79 m.</v>
      </c>
      <c r="C21" s="84"/>
      <c r="D21" s="84"/>
      <c r="E21" s="84"/>
      <c r="F21" s="84"/>
      <c r="G21" s="84"/>
      <c r="H21" s="84"/>
    </row>
    <row r="23" customFormat="false" ht="19.5" hidden="false" customHeight="true" outlineLevel="0" collapsed="false">
      <c r="B23" s="8" t="s">
        <v>367</v>
      </c>
      <c r="C23" s="8"/>
      <c r="D23" s="8"/>
      <c r="E23" s="8"/>
      <c r="F23" s="8"/>
      <c r="G23" s="8"/>
      <c r="H23" s="8"/>
    </row>
    <row r="24" customFormat="false" ht="31.5" hidden="false" customHeight="true" outlineLevel="0" collapsed="false">
      <c r="B24" s="84" t="str">
        <f aca="false">"Conforme o Anexo C da NBR 16325-2, ZLQ = queda livre + frenagem + 1,5 m + 1,0 m + flecha. Resulta ZLQ = "&amp;SUBSTITUTE(TEXT(Cálculo!$F$52,"0.00"),".",",")&amp;" m, "&amp;IF(Cálculo!$F$52&lt;='Entrada de Dados'!$D$19,"valor INFERIOR ao pé-direito livre disponível de ","valor SUPERIOR ao pé-direito livre disponível de ")&amp;SUBSTITUTE(TEXT('Entrada de Dados'!$D$19,"0.00"),".",",")&amp;" m — "&amp;IF(Cálculo!$F$52&lt;='Entrada de Dados'!$D$19,"condição ATENDIDA.","condição NÃO ATENDIDA; rever vão, absorvedor ou ponto de ancoragem.")</f>
        <v>Conforme o Anexo C da NBR 16325-2, ZLQ = queda livre + frenagem + 1,5 m + 1,0 m + flecha. Resulta ZLQ = 7,54 m, valor INFERIOR ao pé-direito livre disponível de 8,50 m — condição ATENDIDA.</v>
      </c>
      <c r="C24" s="84"/>
      <c r="D24" s="84"/>
      <c r="E24" s="84"/>
      <c r="F24" s="84"/>
      <c r="G24" s="84"/>
      <c r="H24" s="84"/>
    </row>
    <row r="26" customFormat="false" ht="19.5" hidden="false" customHeight="true" outlineLevel="0" collapsed="false">
      <c r="B26" s="8" t="s">
        <v>368</v>
      </c>
      <c r="C26" s="8"/>
      <c r="D26" s="8"/>
      <c r="E26" s="8"/>
      <c r="F26" s="8"/>
      <c r="G26" s="8"/>
      <c r="H26" s="8"/>
    </row>
    <row r="27" customFormat="false" ht="31.5" hidden="false" customHeight="true" outlineLevel="0" collapsed="false">
      <c r="B27" s="84" t="str">
        <f aca="false">"O fator de segurança dinâmico é FS = carga de ruptura/tração = "&amp;SUBSTITUTE(TEXT(Cálculo!$F$12,"0.0"),".",",")&amp;" / "&amp;SUBSTITUTE(TEXT(Cálculo!$F$39,"0.00"),".",",")&amp;" = "&amp;SUBSTITUTE(TEXT(Cálculo!$F$56,"0.00"),".",",")&amp;" — "&amp;IF(Cálculo!$F$56&gt;=2,"superior ao mínimo de 2 (ATENDE).","inferior ao mínimo de 2 (NÃO ATENDE).")</f>
        <v>O fator de segurança dinâmico é FS = carga de ruptura/tração = 63,0 / 12,00 = 5,25 — superior ao mínimo de 2 (ATENDE).</v>
      </c>
      <c r="C27" s="84"/>
      <c r="D27" s="84"/>
      <c r="E27" s="84"/>
      <c r="F27" s="84"/>
      <c r="G27" s="84"/>
      <c r="H27" s="84"/>
    </row>
    <row r="29" customFormat="false" ht="19.5" hidden="false" customHeight="true" outlineLevel="0" collapsed="false">
      <c r="B29" s="8" t="s">
        <v>369</v>
      </c>
      <c r="C29" s="8"/>
      <c r="D29" s="8"/>
      <c r="E29" s="8"/>
      <c r="F29" s="8"/>
      <c r="G29" s="8"/>
      <c r="H29" s="8"/>
    </row>
    <row r="30" customFormat="false" ht="58.5" hidden="false" customHeight="true" outlineLevel="0" collapsed="false">
      <c r="B30" s="84" t="str">
        <f aca="false">"As reações no topo do poste extremo são H = T·cosθ = "&amp;SUBSTITUTE(TEXT(Cálculo!$F$60,"0.00"),".",",")&amp;" kN e V = T·senθ = "&amp;SUBSTITUTE(TEXT(Cálculo!$F$61,"0.00"),".",",")&amp;" kN, gerando momento na base M_k = H·h = "&amp;SUBSTITUTE(TEXT(Cálculo!$F$63,"0.00"),".",",")&amp;" kN·m. Adotado o perfil tubular "&amp;'Entrada de Dados'!$D$39&amp;" (fy = "&amp;SUBSTITUTE(TEXT(Cálculo!$F$71,"0"),".",",")&amp;" MPa), o momento resistente é M_Rd = "&amp;SUBSTITUTE(TEXT(Cálculo!$F$76,"0.00"),".",",")&amp;" kN·m e a utilização à flexo-compressão resulta em "&amp;SUBSTITUTE(TEXT(Cálculo!$F$78,"0.00"),".",",")&amp;" — "&amp;IF(Cálculo!$F$78&lt;=1,"inferior a 1,0 (ATENDE).","superior a 1,0 (NÃO ATENDE; aumentar a seção).")</f>
        <v>As reações no topo do poste extremo são H = T·cosθ = 11,62 kN e V = T·senθ = 3,00 kN, gerando momento na base M_k = H·h = 13,94 kN·m. Adotado o perfil tubular SHS 100x100x6,3 (fy = 345 MPa), o momento resistente é M_Rd = 26,06 kN·m e a utilização à flexo-compressão resulta em 0,75 — inferior a 1,0 (ATENDE).</v>
      </c>
      <c r="C30" s="84"/>
      <c r="D30" s="84"/>
      <c r="E30" s="84"/>
      <c r="F30" s="84"/>
      <c r="G30" s="84"/>
      <c r="H30" s="84"/>
    </row>
    <row r="32" customFormat="false" ht="19.5" hidden="false" customHeight="true" outlineLevel="0" collapsed="false">
      <c r="B32" s="8" t="s">
        <v>370</v>
      </c>
      <c r="C32" s="8"/>
      <c r="D32" s="8"/>
      <c r="E32" s="8"/>
      <c r="F32" s="8"/>
      <c r="G32" s="8"/>
      <c r="H32" s="8"/>
    </row>
    <row r="33" customFormat="false" ht="45" hidden="false" customHeight="true" outlineLevel="0" collapsed="false">
      <c r="B33" s="84" t="str">
        <f aca="false">"A tração de cálculo por chumbador é estimada em "&amp;SUBSTITUTE(TEXT(Cálculo!$F$85,"0.0"),".",",")&amp;" kN; o arrancamento no concreto/aço deve ser verificado conforme o fabricante. O dispositivo de ancoragem deve resistir a, no mínimo, "&amp;SUBSTITUTE(TEXT(Cálculo!$F$86,"0.0"),".",",")&amp;" kN, atendendo ao mínimo da NR-18 e à tração da linha."</f>
        <v>A tração de cálculo por chumbador é estimada em 54,2 kN; o arrancamento no concreto/aço deve ser verificado conforme o fabricante. O dispositivo de ancoragem deve resistir a, no mínimo, 15,0 kN, atendendo ao mínimo da NR-18 e à tração da linha.</v>
      </c>
      <c r="C33" s="84"/>
      <c r="D33" s="84"/>
      <c r="E33" s="84"/>
      <c r="F33" s="84"/>
      <c r="G33" s="84"/>
      <c r="H33" s="84"/>
    </row>
    <row r="36" customFormat="false" ht="19.5" hidden="false" customHeight="true" outlineLevel="0" collapsed="false">
      <c r="B36" s="8" t="s">
        <v>371</v>
      </c>
      <c r="C36" s="8"/>
      <c r="D36" s="8"/>
      <c r="E36" s="8"/>
      <c r="F36" s="8"/>
      <c r="G36" s="8"/>
      <c r="H36" s="8"/>
    </row>
    <row r="37" customFormat="false" ht="15.75" hidden="false" customHeight="true" outlineLevel="0" collapsed="false">
      <c r="B37" s="89" t="s">
        <v>372</v>
      </c>
      <c r="C37" s="89"/>
      <c r="D37" s="89"/>
      <c r="E37" s="89"/>
      <c r="F37" s="68" t="s">
        <v>373</v>
      </c>
      <c r="G37" s="89" t="s">
        <v>374</v>
      </c>
      <c r="H37" s="89"/>
    </row>
    <row r="38" customFormat="false" ht="15" hidden="false" customHeight="true" outlineLevel="0" collapsed="false">
      <c r="B38" s="90" t="s">
        <v>375</v>
      </c>
      <c r="C38" s="90"/>
      <c r="D38" s="90"/>
      <c r="E38" s="90"/>
      <c r="F38" s="91" t="s">
        <v>134</v>
      </c>
      <c r="G38" s="92" t="str">
        <f aca="false">SUBSTITUTE(TEXT(Cálculo!$F$39,"0.00"),".",",")&amp;" kN"</f>
        <v>12,00 kN</v>
      </c>
      <c r="H38" s="92"/>
    </row>
    <row r="39" customFormat="false" ht="15" hidden="false" customHeight="true" outlineLevel="0" collapsed="false">
      <c r="B39" s="90" t="s">
        <v>376</v>
      </c>
      <c r="C39" s="90"/>
      <c r="D39" s="90"/>
      <c r="E39" s="90"/>
      <c r="F39" s="91" t="s">
        <v>377</v>
      </c>
      <c r="G39" s="92" t="str">
        <f aca="false">SUBSTITUTE(TEXT(Cálculo!$F$44,"0.00"),".",",")&amp;" m"</f>
        <v>1,79 m</v>
      </c>
      <c r="H39" s="92"/>
    </row>
    <row r="40" customFormat="false" ht="15" hidden="false" customHeight="true" outlineLevel="0" collapsed="false">
      <c r="B40" s="90" t="s">
        <v>378</v>
      </c>
      <c r="C40" s="90"/>
      <c r="D40" s="90"/>
      <c r="E40" s="90"/>
      <c r="F40" s="91" t="s">
        <v>155</v>
      </c>
      <c r="G40" s="92" t="str">
        <f aca="false">SUBSTITUTE(TEXT(Cálculo!$F$52,"0.00"),".",",")&amp;" m"</f>
        <v>7,54 m</v>
      </c>
      <c r="H40" s="92"/>
    </row>
    <row r="41" customFormat="false" ht="15" hidden="false" customHeight="true" outlineLevel="0" collapsed="false">
      <c r="B41" s="90" t="s">
        <v>379</v>
      </c>
      <c r="C41" s="90"/>
      <c r="D41" s="90"/>
      <c r="E41" s="90"/>
      <c r="F41" s="91" t="s">
        <v>199</v>
      </c>
      <c r="G41" s="92" t="str">
        <f aca="false">SUBSTITUTE(TEXT(Cálculo!$F$56,"0.00"),".",",")</f>
        <v>5,25</v>
      </c>
      <c r="H41" s="92"/>
    </row>
    <row r="42" customFormat="false" ht="15" hidden="false" customHeight="true" outlineLevel="0" collapsed="false">
      <c r="B42" s="90" t="s">
        <v>380</v>
      </c>
      <c r="C42" s="90"/>
      <c r="D42" s="90"/>
      <c r="E42" s="90"/>
      <c r="F42" s="91" t="s">
        <v>169</v>
      </c>
      <c r="G42" s="92" t="str">
        <f aca="false">SUBSTITUTE(TEXT(Cálculo!$F$63,"0.00"),".",",")&amp;" kN·m"</f>
        <v>13,94 kN·m</v>
      </c>
      <c r="H42" s="92"/>
    </row>
    <row r="43" customFormat="false" ht="15" hidden="false" customHeight="true" outlineLevel="0" collapsed="false">
      <c r="B43" s="90" t="s">
        <v>381</v>
      </c>
      <c r="C43" s="90"/>
      <c r="D43" s="90"/>
      <c r="E43" s="90"/>
      <c r="F43" s="91" t="s">
        <v>197</v>
      </c>
      <c r="G43" s="92" t="str">
        <f aca="false">SUBSTITUTE(TEXT(Cálculo!$F$78,"0.00"),".",",")</f>
        <v>0,75</v>
      </c>
      <c r="H43" s="92"/>
    </row>
    <row r="45" customFormat="false" ht="19.5" hidden="false" customHeight="true" outlineLevel="0" collapsed="false">
      <c r="B45" s="8" t="s">
        <v>382</v>
      </c>
      <c r="C45" s="8"/>
      <c r="D45" s="8"/>
      <c r="E45" s="8"/>
      <c r="F45" s="8"/>
      <c r="G45" s="8"/>
      <c r="H45" s="8"/>
    </row>
    <row r="46" customFormat="false" ht="25.5" hidden="false" customHeight="true" outlineLevel="0" collapsed="false">
      <c r="B46" s="31" t="str">
        <f aca="false">Cálculo!F4</f>
        <v>APROVADO</v>
      </c>
      <c r="C46" s="31"/>
      <c r="D46" s="31"/>
      <c r="E46" s="31"/>
      <c r="F46" s="31"/>
      <c r="G46" s="31"/>
      <c r="H46" s="31"/>
    </row>
    <row r="48" customFormat="false" ht="19.5" hidden="false" customHeight="true" outlineLevel="0" collapsed="false">
      <c r="B48" s="8" t="s">
        <v>360</v>
      </c>
      <c r="C48" s="8"/>
      <c r="D48" s="8"/>
      <c r="E48" s="8"/>
      <c r="F48" s="8"/>
      <c r="G48" s="8"/>
      <c r="H48" s="8"/>
    </row>
    <row r="49" customFormat="false" ht="45" hidden="false" customHeight="true" outlineLevel="0" collapsed="false">
      <c r="B49" s="84" t="str">
        <f aca="false">"Este memorial é gerado automaticamente a partir dos dados de entrada e das verificações da aba «Cálculo». Os resultados devem ser conferidos e validados pelo responsável técnico antes da emissão e assinatura, com a respectiva ART."</f>
        <v>Este memorial é gerado automaticamente a partir dos dados de entrada e das verificações da aba «Cálculo». Os resultados devem ser conferidos e validados pelo responsável técnico antes da emissão e assinatura, com a respectiva ART.</v>
      </c>
      <c r="C49" s="84"/>
      <c r="D49" s="84"/>
      <c r="E49" s="84"/>
      <c r="F49" s="84"/>
      <c r="G49" s="84"/>
      <c r="H49" s="84"/>
    </row>
    <row r="51" customFormat="false" ht="15" hidden="false" customHeight="false" outlineLevel="0" collapsed="false">
      <c r="B51" s="86" t="str">
        <f aca="false">"Cornélio Procópio/PR, "&amp;'Entrada de Dados'!$D$8</f>
        <v>Cornélio Procópio/PR, 24/06/2026</v>
      </c>
      <c r="C51" s="86"/>
      <c r="D51" s="86"/>
      <c r="E51" s="86"/>
      <c r="F51" s="86"/>
      <c r="G51" s="86"/>
      <c r="H51" s="86"/>
    </row>
    <row r="53" customFormat="false" ht="15" hidden="false" customHeight="true" outlineLevel="0" collapsed="false">
      <c r="C53" s="87" t="s">
        <v>348</v>
      </c>
      <c r="D53" s="87"/>
      <c r="E53" s="87"/>
      <c r="F53" s="87"/>
      <c r="G53" s="87"/>
    </row>
    <row r="54" customFormat="false" ht="15" hidden="false" customHeight="false" outlineLevel="0" collapsed="false">
      <c r="C54" s="88" t="str">
        <f aca="false">'Entrada de Dados'!$D$7</f>
        <v>Gustavo F. F. Domingos — CREA 140.964-D/PR</v>
      </c>
      <c r="D54" s="88"/>
      <c r="E54" s="88"/>
      <c r="F54" s="88"/>
      <c r="G54" s="88"/>
    </row>
    <row r="55" customFormat="false" ht="15" hidden="false" customHeight="true" outlineLevel="0" collapsed="false">
      <c r="C55" s="7" t="s">
        <v>361</v>
      </c>
      <c r="D55" s="7"/>
      <c r="E55" s="7"/>
      <c r="F55" s="7"/>
      <c r="G55" s="7"/>
    </row>
    <row r="56" customFormat="false" ht="15" hidden="false" customHeight="true" outlineLevel="0" collapsed="false">
      <c r="C56" s="7" t="s">
        <v>362</v>
      </c>
      <c r="D56" s="7"/>
      <c r="E56" s="7"/>
      <c r="F56" s="7"/>
      <c r="G56" s="7"/>
    </row>
  </sheetData>
  <mergeCells count="47">
    <mergeCell ref="B5:H5"/>
    <mergeCell ref="B6:H6"/>
    <mergeCell ref="B9:H9"/>
    <mergeCell ref="B10:C10"/>
    <mergeCell ref="D10:H10"/>
    <mergeCell ref="B11:C11"/>
    <mergeCell ref="D11:H11"/>
    <mergeCell ref="B12:C12"/>
    <mergeCell ref="D12:H12"/>
    <mergeCell ref="B14:H14"/>
    <mergeCell ref="B15:H15"/>
    <mergeCell ref="B17:H17"/>
    <mergeCell ref="B18:H18"/>
    <mergeCell ref="B20:H20"/>
    <mergeCell ref="B21:H21"/>
    <mergeCell ref="B23:H23"/>
    <mergeCell ref="B24:H24"/>
    <mergeCell ref="B26:H26"/>
    <mergeCell ref="B27:H27"/>
    <mergeCell ref="B29:H29"/>
    <mergeCell ref="B30:H30"/>
    <mergeCell ref="B32:H32"/>
    <mergeCell ref="B33:H33"/>
    <mergeCell ref="B36:H36"/>
    <mergeCell ref="B37:E37"/>
    <mergeCell ref="G37:H37"/>
    <mergeCell ref="B38:E38"/>
    <mergeCell ref="G38:H38"/>
    <mergeCell ref="B39:E39"/>
    <mergeCell ref="G39:H39"/>
    <mergeCell ref="B40:E40"/>
    <mergeCell ref="G40:H40"/>
    <mergeCell ref="B41:E41"/>
    <mergeCell ref="G41:H41"/>
    <mergeCell ref="B42:E42"/>
    <mergeCell ref="G42:H42"/>
    <mergeCell ref="B43:E43"/>
    <mergeCell ref="G43:H43"/>
    <mergeCell ref="B45:H45"/>
    <mergeCell ref="B46:H46"/>
    <mergeCell ref="B48:H48"/>
    <mergeCell ref="B49:H49"/>
    <mergeCell ref="B51:H51"/>
    <mergeCell ref="C53:G53"/>
    <mergeCell ref="C54:G54"/>
    <mergeCell ref="C55:G55"/>
    <mergeCell ref="C56:G56"/>
  </mergeCells>
  <conditionalFormatting sqref="B46">
    <cfRule type="expression" priority="2" aboveAverage="0" equalAverage="0" bottom="0" percent="0" rank="0" text="" dxfId="6">
      <formula>ISNUMBER(SEARCH("APROV",B46))</formula>
    </cfRule>
    <cfRule type="expression" priority="3" aboveAverage="0" equalAverage="0" bottom="0" percent="0" rank="0" text="" dxfId="7">
      <formula>ISNUMBER(SEARCH("REPROV",B46))</formula>
    </cfRule>
  </conditionalFormatting>
  <printOptions headings="false" gridLines="false" gridLinesSet="true" horizontalCentered="false" verticalCentered="false"/>
  <pageMargins left="0.5" right="0.5" top="0.5" bottom="0.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true" outlineLevel="0" collapsed="false">
      <c r="A1" s="1" t="s">
        <v>383</v>
      </c>
      <c r="C1" s="1" t="s">
        <v>49</v>
      </c>
      <c r="D1" s="1" t="s">
        <v>384</v>
      </c>
      <c r="E1" s="1" t="s">
        <v>385</v>
      </c>
      <c r="G1" s="1" t="s">
        <v>20</v>
      </c>
      <c r="H1" s="1" t="s">
        <v>386</v>
      </c>
      <c r="I1" s="1" t="s">
        <v>387</v>
      </c>
      <c r="J1" s="1" t="s">
        <v>388</v>
      </c>
      <c r="K1" s="1" t="s">
        <v>389</v>
      </c>
    </row>
    <row r="2" customFormat="false" ht="15" hidden="false" customHeight="true" outlineLevel="0" collapsed="false">
      <c r="A2" s="1" t="s">
        <v>49</v>
      </c>
      <c r="C2" s="1" t="s">
        <v>51</v>
      </c>
      <c r="D2" s="1" t="s">
        <v>235</v>
      </c>
      <c r="E2" s="1" t="s">
        <v>390</v>
      </c>
      <c r="G2" s="1" t="s">
        <v>63</v>
      </c>
      <c r="H2" s="1" t="s">
        <v>77</v>
      </c>
      <c r="I2" s="1" t="s">
        <v>72</v>
      </c>
      <c r="J2" s="1" t="s">
        <v>391</v>
      </c>
      <c r="K2" s="1" t="n">
        <v>8</v>
      </c>
    </row>
    <row r="3" customFormat="false" ht="15" hidden="false" customHeight="true" outlineLevel="0" collapsed="false">
      <c r="A3" s="1" t="s">
        <v>384</v>
      </c>
      <c r="C3" s="1" t="s">
        <v>392</v>
      </c>
      <c r="D3" s="1" t="s">
        <v>236</v>
      </c>
      <c r="E3" s="1" t="s">
        <v>393</v>
      </c>
      <c r="G3" s="1" t="s">
        <v>394</v>
      </c>
      <c r="H3" s="1" t="s">
        <v>395</v>
      </c>
      <c r="I3" s="1" t="s">
        <v>396</v>
      </c>
      <c r="J3" s="1" t="s">
        <v>82</v>
      </c>
      <c r="K3" s="1" t="n">
        <v>10</v>
      </c>
    </row>
    <row r="4" customFormat="false" ht="15" hidden="false" customHeight="true" outlineLevel="0" collapsed="false">
      <c r="A4" s="1" t="s">
        <v>385</v>
      </c>
      <c r="C4" s="1" t="s">
        <v>397</v>
      </c>
      <c r="D4" s="1" t="s">
        <v>234</v>
      </c>
      <c r="E4" s="1" t="s">
        <v>398</v>
      </c>
      <c r="I4" s="1" t="s">
        <v>399</v>
      </c>
      <c r="J4" s="1" t="s">
        <v>400</v>
      </c>
      <c r="K4" s="1" t="n">
        <v>12</v>
      </c>
    </row>
    <row r="5" customFormat="false" ht="15" hidden="false" customHeight="true" outlineLevel="0" collapsed="false">
      <c r="C5" s="1" t="s">
        <v>234</v>
      </c>
      <c r="D5" s="1" t="s">
        <v>237</v>
      </c>
      <c r="E5" s="1" t="s">
        <v>243</v>
      </c>
      <c r="J5" s="1" t="s">
        <v>401</v>
      </c>
    </row>
    <row r="6" customFormat="false" ht="15" hidden="false" customHeight="true" outlineLevel="0" collapsed="false">
      <c r="C6" s="1" t="s">
        <v>233</v>
      </c>
      <c r="D6" s="1" t="s">
        <v>238</v>
      </c>
      <c r="E6" s="1" t="s">
        <v>402</v>
      </c>
      <c r="J6" s="1" t="s">
        <v>403</v>
      </c>
    </row>
    <row r="7" customFormat="false" ht="15" hidden="false" customHeight="true" outlineLevel="0" collapsed="false">
      <c r="J7" s="1" t="s">
        <v>404</v>
      </c>
    </row>
    <row r="20" customFormat="false" ht="15" hidden="false" customHeight="true" outlineLevel="0" collapsed="false">
      <c r="A20" s="1" t="s">
        <v>405</v>
      </c>
    </row>
    <row r="21" customFormat="false" ht="15" hidden="false" customHeight="true" outlineLevel="0" collapsed="false">
      <c r="A21" s="93" t="s">
        <v>406</v>
      </c>
      <c r="B21" s="93" t="s">
        <v>407</v>
      </c>
      <c r="C21" s="93" t="s">
        <v>408</v>
      </c>
      <c r="D21" s="93" t="s">
        <v>409</v>
      </c>
      <c r="E21" s="93" t="s">
        <v>410</v>
      </c>
      <c r="F21" s="93" t="s">
        <v>411</v>
      </c>
      <c r="G21" s="93" t="s">
        <v>412</v>
      </c>
    </row>
    <row r="22" customFormat="false" ht="15" hidden="false" customHeight="true" outlineLevel="0" collapsed="false">
      <c r="A22" s="1" t="s">
        <v>413</v>
      </c>
      <c r="B22" s="1" t="s">
        <v>63</v>
      </c>
      <c r="C22" s="1" t="n">
        <v>8</v>
      </c>
      <c r="D22" s="1" t="n">
        <v>120000</v>
      </c>
      <c r="E22" s="1" t="n">
        <v>30</v>
      </c>
      <c r="F22" s="1" t="n">
        <v>40</v>
      </c>
      <c r="G22" s="1" t="n">
        <v>0.25</v>
      </c>
    </row>
    <row r="23" customFormat="false" ht="15" hidden="false" customHeight="true" outlineLevel="0" collapsed="false">
      <c r="A23" s="1" t="s">
        <v>414</v>
      </c>
      <c r="B23" s="1" t="s">
        <v>63</v>
      </c>
      <c r="C23" s="1" t="n">
        <v>10</v>
      </c>
      <c r="D23" s="1" t="n">
        <v>120000</v>
      </c>
      <c r="E23" s="1" t="n">
        <v>47</v>
      </c>
      <c r="F23" s="1" t="n">
        <v>63</v>
      </c>
      <c r="G23" s="1" t="n">
        <v>0.39</v>
      </c>
    </row>
    <row r="24" customFormat="false" ht="15" hidden="false" customHeight="true" outlineLevel="0" collapsed="false">
      <c r="A24" s="1" t="s">
        <v>415</v>
      </c>
      <c r="B24" s="1" t="s">
        <v>63</v>
      </c>
      <c r="C24" s="1" t="n">
        <v>12</v>
      </c>
      <c r="D24" s="1" t="n">
        <v>120000</v>
      </c>
      <c r="E24" s="1" t="n">
        <v>68</v>
      </c>
      <c r="F24" s="1" t="n">
        <v>90</v>
      </c>
      <c r="G24" s="1" t="n">
        <v>0.56</v>
      </c>
    </row>
    <row r="25" customFormat="false" ht="15" hidden="false" customHeight="true" outlineLevel="0" collapsed="false">
      <c r="A25" s="1" t="s">
        <v>416</v>
      </c>
      <c r="B25" s="1" t="s">
        <v>417</v>
      </c>
      <c r="C25" s="1" t="n">
        <v>8</v>
      </c>
      <c r="D25" s="1" t="n">
        <v>100000</v>
      </c>
      <c r="E25" s="1" t="n">
        <v>31</v>
      </c>
      <c r="F25" s="1" t="n">
        <v>38</v>
      </c>
      <c r="G25" s="1" t="n">
        <v>0.23</v>
      </c>
    </row>
    <row r="26" customFormat="false" ht="15" hidden="false" customHeight="true" outlineLevel="0" collapsed="false">
      <c r="A26" s="1" t="s">
        <v>418</v>
      </c>
      <c r="B26" s="1" t="s">
        <v>417</v>
      </c>
      <c r="C26" s="1" t="n">
        <v>10</v>
      </c>
      <c r="D26" s="1" t="n">
        <v>100000</v>
      </c>
      <c r="E26" s="1" t="n">
        <v>48</v>
      </c>
      <c r="F26" s="1" t="n">
        <v>59</v>
      </c>
      <c r="G26" s="1" t="n">
        <v>0.36</v>
      </c>
    </row>
    <row r="27" customFormat="false" ht="15" hidden="false" customHeight="true" outlineLevel="0" collapsed="false">
      <c r="A27" s="1" t="s">
        <v>419</v>
      </c>
      <c r="B27" s="1" t="s">
        <v>417</v>
      </c>
      <c r="C27" s="1" t="n">
        <v>12</v>
      </c>
      <c r="D27" s="1" t="n">
        <v>100000</v>
      </c>
      <c r="E27" s="1" t="n">
        <v>69</v>
      </c>
      <c r="F27" s="1" t="n">
        <v>85</v>
      </c>
      <c r="G27" s="1" t="n">
        <v>0.52</v>
      </c>
    </row>
    <row r="32" customFormat="false" ht="15" hidden="false" customHeight="true" outlineLevel="0" collapsed="false">
      <c r="A32" s="1" t="s">
        <v>420</v>
      </c>
    </row>
    <row r="33" customFormat="false" ht="15" hidden="false" customHeight="true" outlineLevel="0" collapsed="false">
      <c r="A33" s="93" t="s">
        <v>421</v>
      </c>
      <c r="B33" s="93" t="s">
        <v>422</v>
      </c>
      <c r="C33" s="93" t="s">
        <v>423</v>
      </c>
      <c r="D33" s="93" t="s">
        <v>424</v>
      </c>
      <c r="E33" s="93" t="s">
        <v>425</v>
      </c>
      <c r="F33" s="93" t="s">
        <v>426</v>
      </c>
      <c r="G33" s="93" t="s">
        <v>427</v>
      </c>
    </row>
    <row r="34" customFormat="false" ht="15" hidden="false" customHeight="true" outlineLevel="0" collapsed="false">
      <c r="A34" s="1" t="s">
        <v>391</v>
      </c>
      <c r="B34" s="1" t="n">
        <v>80</v>
      </c>
      <c r="C34" s="1" t="n">
        <v>6.3</v>
      </c>
      <c r="D34" s="1" t="n">
        <v>42.3</v>
      </c>
      <c r="E34" s="1" t="n">
        <v>51.5</v>
      </c>
      <c r="F34" s="1" t="n">
        <v>18.6</v>
      </c>
      <c r="G34" s="1" t="n">
        <v>250</v>
      </c>
    </row>
    <row r="35" customFormat="false" ht="15" hidden="false" customHeight="true" outlineLevel="0" collapsed="false">
      <c r="A35" s="1" t="s">
        <v>82</v>
      </c>
      <c r="B35" s="1" t="n">
        <v>100</v>
      </c>
      <c r="C35" s="1" t="n">
        <v>6.3</v>
      </c>
      <c r="D35" s="1" t="n">
        <v>69.4</v>
      </c>
      <c r="E35" s="1" t="n">
        <v>83.1</v>
      </c>
      <c r="F35" s="1" t="n">
        <v>23.6</v>
      </c>
      <c r="G35" s="1" t="n">
        <v>345</v>
      </c>
    </row>
    <row r="36" customFormat="false" ht="15" hidden="false" customHeight="true" outlineLevel="0" collapsed="false">
      <c r="A36" s="1" t="s">
        <v>400</v>
      </c>
      <c r="B36" s="1" t="n">
        <v>100</v>
      </c>
      <c r="C36" s="1" t="n">
        <v>8</v>
      </c>
      <c r="D36" s="1" t="n">
        <v>83.7</v>
      </c>
      <c r="E36" s="1" t="n">
        <v>101.8</v>
      </c>
      <c r="F36" s="1" t="n">
        <v>29.4</v>
      </c>
      <c r="G36" s="1" t="n">
        <v>345</v>
      </c>
    </row>
    <row r="37" customFormat="false" ht="15" hidden="false" customHeight="true" outlineLevel="0" collapsed="false">
      <c r="A37" s="1" t="s">
        <v>401</v>
      </c>
      <c r="B37" s="1" t="n">
        <v>120</v>
      </c>
      <c r="C37" s="1" t="n">
        <v>8</v>
      </c>
      <c r="D37" s="1" t="n">
        <v>125.5</v>
      </c>
      <c r="E37" s="1" t="n">
        <v>150.8</v>
      </c>
      <c r="F37" s="1" t="n">
        <v>35.8</v>
      </c>
      <c r="G37" s="1" t="n">
        <v>345</v>
      </c>
    </row>
    <row r="38" customFormat="false" ht="15" hidden="false" customHeight="true" outlineLevel="0" collapsed="false">
      <c r="A38" s="1" t="s">
        <v>403</v>
      </c>
      <c r="B38" s="1" t="n">
        <v>150</v>
      </c>
      <c r="C38" s="1" t="n">
        <v>8</v>
      </c>
      <c r="D38" s="1" t="n">
        <v>204.3</v>
      </c>
      <c r="E38" s="1" t="n">
        <v>242.2</v>
      </c>
      <c r="F38" s="1" t="n">
        <v>45.4</v>
      </c>
      <c r="G38" s="1" t="n">
        <v>345</v>
      </c>
    </row>
    <row r="39" customFormat="false" ht="15" hidden="false" customHeight="true" outlineLevel="0" collapsed="false">
      <c r="A39" s="1" t="s">
        <v>404</v>
      </c>
      <c r="B39" s="1" t="n">
        <v>150</v>
      </c>
      <c r="C39" s="1" t="n">
        <v>10</v>
      </c>
      <c r="D39" s="1" t="n">
        <v>245.2</v>
      </c>
      <c r="E39" s="1" t="n">
        <v>294.5</v>
      </c>
      <c r="F39" s="1" t="n">
        <v>56</v>
      </c>
      <c r="G39" s="1" t="n">
        <v>345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2026-06-24T22:34:48Z</dcterms:created>
  <dc:creator>openpyxl</dc:creator>
  <dc:description/>
  <dc:language>en-US</dc:language>
  <cp:lastModifiedBy/>
  <dcterms:modified xsi:type="dcterms:W3CDTF">2026-06-25T23:09:03Z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