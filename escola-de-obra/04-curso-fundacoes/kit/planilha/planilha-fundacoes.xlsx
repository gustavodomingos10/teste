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Seletor" sheetId="2" state="visible" r:id="rId2"/>
    <sheet xmlns:r="http://schemas.openxmlformats.org/officeDocument/2006/relationships" name="Comparador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Georgia"/>
      <b val="1"/>
      <color rgb="00F5EFE0"/>
      <sz val="15"/>
    </font>
    <font>
      <name val="Calibri"/>
      <b val="1"/>
      <color rgb="00F5EFE0"/>
      <sz val="10"/>
    </font>
    <font>
      <name val="Calibri"/>
      <b val="1"/>
      <color rgb="000E3A34"/>
      <sz val="10"/>
    </font>
    <font>
      <name val="Calibri"/>
      <color rgb="0020211E"/>
      <sz val="10"/>
    </font>
    <font>
      <name val="Calibri"/>
      <i val="1"/>
      <color rgb="006B6B63"/>
      <sz val="8.5"/>
    </font>
    <font>
      <name val="Georgia"/>
      <b val="1"/>
      <color rgb="000E3A34"/>
      <sz val="18"/>
    </font>
    <font>
      <name val="Calibri"/>
      <b val="1"/>
      <color rgb="00C9A24B"/>
      <sz val="9"/>
    </font>
  </fonts>
  <fills count="9">
    <fill>
      <patternFill/>
    </fill>
    <fill>
      <patternFill patternType="gray125"/>
    </fill>
    <fill>
      <patternFill patternType="solid">
        <fgColor rgb="000E3A34"/>
      </patternFill>
    </fill>
    <fill>
      <patternFill patternType="solid">
        <fgColor rgb="001C5A4E"/>
      </patternFill>
    </fill>
    <fill>
      <patternFill patternType="solid">
        <fgColor rgb="00C9A24B"/>
      </patternFill>
    </fill>
    <fill>
      <patternFill patternType="solid">
        <fgColor rgb="00FBF8F0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2BE"/>
      </left>
      <right style="thin">
        <color rgb="00D9D2BE"/>
      </right>
      <top style="thin">
        <color rgb="00D9D2BE"/>
      </top>
      <bottom style="thin">
        <color rgb="00D9D2B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pivotButton="0" quotePrefix="0" xfId="0"/>
    <xf numFmtId="164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dxfs count="3">
    <dxf>
      <font>
        <b val="1"/>
        <color rgb="001b4d1f"/>
      </font>
      <fill>
        <patternFill patternType="solid">
          <fgColor rgb="00D9EAD3"/>
        </patternFill>
      </fill>
    </dxf>
    <dxf>
      <font>
        <b val="1"/>
        <color rgb="000b3d66"/>
      </font>
      <fill>
        <patternFill patternType="solid">
          <fgColor rgb="00CFE2F3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</cols>
  <sheetData>
    <row r="1" ht="26" customHeight="1">
      <c r="A1" s="1" t="inlineStr">
        <is>
          <t>PARÂMETROS DE TRIAGEM — ajuste e assine (convenção do curso)</t>
        </is>
      </c>
    </row>
    <row r="3">
      <c r="A3" s="2" t="inlineStr">
        <is>
          <t>Parâmetro</t>
        </is>
      </c>
      <c r="B3" s="2" t="inlineStr">
        <is>
          <t>Valor</t>
        </is>
      </c>
      <c r="C3" s="2" t="inlineStr">
        <is>
          <t>Observação / fonte</t>
        </is>
      </c>
    </row>
    <row r="4">
      <c r="A4" s="3" t="inlineStr">
        <is>
          <t>Limite camada RASA (m)</t>
        </is>
      </c>
      <c r="B4" s="4" t="n">
        <v>3</v>
      </c>
      <c r="C4" s="5" t="inlineStr">
        <is>
          <t>Camada resistente até esta profundidade favorece fundação rasa. [VALIDAR E1]</t>
        </is>
      </c>
    </row>
    <row r="5">
      <c r="A5" s="3" t="inlineStr">
        <is>
          <t>Limite camada PROFUNDA (m)</t>
        </is>
      </c>
      <c r="B5" s="4" t="n">
        <v>8</v>
      </c>
      <c r="C5" s="5" t="inlineStr">
        <is>
          <t>Camada resistente a partir desta profundidade favorece fundação profunda. [VALIDAR E2]</t>
        </is>
      </c>
    </row>
    <row r="6">
      <c r="A6" s="3" t="inlineStr">
        <is>
          <t>NA alto se profundidade &lt; (m)</t>
        </is>
      </c>
      <c r="B6" s="4" t="n">
        <v>2</v>
      </c>
      <c r="C6" s="5" t="inlineStr">
        <is>
          <t>Nível d'água mais raso que isto liga o alerta de água. [VALIDAR]</t>
        </is>
      </c>
    </row>
    <row r="8">
      <c r="A8" s="6" t="inlineStr">
        <is>
          <t>Referência N-SPT (mecânica dos solos) — apresentar como referência, confirmar faixas [VALIDAR E5]</t>
        </is>
      </c>
    </row>
    <row r="9">
      <c r="A9" s="2" t="inlineStr">
        <is>
          <t>Solo</t>
        </is>
      </c>
      <c r="B9" s="2" t="inlineStr">
        <is>
          <t>N-SPT (ref.)</t>
        </is>
      </c>
      <c r="C9" s="2" t="inlineStr">
        <is>
          <t>Consistência/compacidade</t>
        </is>
      </c>
    </row>
    <row r="10">
      <c r="A10" s="7" t="inlineStr">
        <is>
          <t>Argila (coesivo)</t>
        </is>
      </c>
      <c r="B10" s="7" t="inlineStr">
        <is>
          <t>≤ 2 / 3-5 / 6-10 / &gt;10</t>
        </is>
      </c>
      <c r="C10" s="7" t="inlineStr">
        <is>
          <t>mole / média / rija / dura*</t>
        </is>
      </c>
    </row>
    <row r="11">
      <c r="A11" s="7" t="inlineStr">
        <is>
          <t>Areia (granular)</t>
        </is>
      </c>
      <c r="B11" s="7" t="inlineStr">
        <is>
          <t>≤ 4 / 5-8 / 9-18 / &gt;18</t>
        </is>
      </c>
      <c r="C11" s="7" t="inlineStr">
        <is>
          <t>fofa / pouco compacta / medianam. / compacta*</t>
        </is>
      </c>
    </row>
    <row r="13">
      <c r="A13" s="8" t="inlineStr">
        <is>
          <t>* faixas ilustrativas — confirmar com a bibliografia adotada. Não substituem o projeto geotécnico.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11" customWidth="1" min="4" max="4"/>
    <col width="10" customWidth="1" min="5" max="5"/>
    <col width="12" customWidth="1" min="6" max="6"/>
    <col width="11" customWidth="1" min="7" max="7"/>
    <col width="14" customWidth="1" min="8" max="8"/>
    <col width="30" customWidth="1" min="9" max="9"/>
    <col width="30" customWidth="1" min="10" max="10"/>
  </cols>
  <sheetData>
    <row r="1" ht="24" customHeight="1">
      <c r="A1" s="1" t="inlineStr">
        <is>
          <t>SELETOR DE FUNDAÇÃO — triagem por caso (decisão final: projetista de fundações, NBR 6122:2019)</t>
        </is>
      </c>
    </row>
    <row r="2" ht="30" customHeight="1">
      <c r="A2" s="9" t="inlineStr">
        <is>
          <t>Nº</t>
        </is>
      </c>
      <c r="B2" s="9" t="inlineStr">
        <is>
          <t>Apoio / Setor</t>
        </is>
      </c>
      <c r="C2" s="9" t="inlineStr">
        <is>
          <t>Prof. camada resistente (m)</t>
        </is>
      </c>
      <c r="D2" s="9" t="inlineStr">
        <is>
          <t>Prof. do NA (m)</t>
        </is>
      </c>
      <c r="E2" s="9" t="inlineStr">
        <is>
          <t>Carga</t>
        </is>
      </c>
      <c r="F2" s="9" t="inlineStr">
        <is>
          <t>Vizinhança sensível?</t>
        </is>
      </c>
      <c r="G2" s="9" t="inlineStr">
        <is>
          <t>Acesso restrito?</t>
        </is>
      </c>
      <c r="H2" s="9" t="inlineStr">
        <is>
          <t>Família (triagem)</t>
        </is>
      </c>
      <c r="I2" s="9" t="inlineStr">
        <is>
          <t>Tipos candidatos</t>
        </is>
      </c>
      <c r="J2" s="9" t="inlineStr">
        <is>
          <t>Alerta</t>
        </is>
      </c>
    </row>
    <row r="3">
      <c r="A3" s="10" t="n"/>
      <c r="B3" s="7" t="n"/>
      <c r="C3" s="11" t="n"/>
      <c r="D3" s="11" t="n"/>
      <c r="E3" s="10" t="n"/>
      <c r="F3" s="10" t="n"/>
      <c r="G3" s="10" t="n"/>
      <c r="H3" s="10">
        <f>IF(OR(C3="",E3=""),"",IF(AND(C3&lt;=Parametros!$B$4,E3&lt;&gt;"alta"),"RASA",IF(OR(C3&gt;=Parametros!$B$5,E3="alta"),"PROFUNDA","ZONA CINZENTA")))</f>
        <v/>
      </c>
      <c r="I3" s="7">
        <f>IF(H3="","",IF(H3="RASA","Sapata (isolada/corrida/associada) ou radier",IF(H3="PROFUNDA",IF(F3="Sim","Estaca helice continua/escavada (sem trepidacao)","Estaca (pre-moldada/helice) ou tubulao*")&amp;IF(G3="Sim","; acesso restrito: raiz/Strauss",""),"Levar ao projetista (decisao final)")))</f>
        <v/>
      </c>
      <c r="J3" s="7">
        <f>IF(H3="","",TRIM(IF(D3&lt;&gt;"",IF(D3&lt;Parametros!$B$6,"NA alto: cautela tubulao a ceu aberto. ",""),"")&amp;IF(H3="PROFUNDA",IF(F3="Sim","Vizinhanca sensivel: evitar cravacao. ",""),"")&amp;IF(H3="ZONA CINZENTA","Decisao do projetista; desempate pelo custo da falha. ","")&amp;IF(E3="alta","Carga alta: dimensionamento pelo projetista. ","")))</f>
        <v/>
      </c>
    </row>
    <row r="4">
      <c r="A4" s="12" t="n"/>
      <c r="B4" s="13" t="n"/>
      <c r="C4" s="14" t="n"/>
      <c r="D4" s="14" t="n"/>
      <c r="E4" s="12" t="n"/>
      <c r="F4" s="12" t="n"/>
      <c r="G4" s="12" t="n"/>
      <c r="H4" s="12">
        <f>IF(OR(C4="",E4=""),"",IF(AND(C4&lt;=Parametros!$B$4,E4&lt;&gt;"alta"),"RASA",IF(OR(C4&gt;=Parametros!$B$5,E4="alta"),"PROFUNDA","ZONA CINZENTA")))</f>
        <v/>
      </c>
      <c r="I4" s="13">
        <f>IF(H4="","",IF(H4="RASA","Sapata (isolada/corrida/associada) ou radier",IF(H4="PROFUNDA",IF(F4="Sim","Estaca helice continua/escavada (sem trepidacao)","Estaca (pre-moldada/helice) ou tubulao*")&amp;IF(G4="Sim","; acesso restrito: raiz/Strauss",""),"Levar ao projetista (decisao final)")))</f>
        <v/>
      </c>
      <c r="J4" s="13">
        <f>IF(H4="","",TRIM(IF(D4&lt;&gt;"",IF(D4&lt;Parametros!$B$6,"NA alto: cautela tubulao a ceu aberto. ",""),"")&amp;IF(H4="PROFUNDA",IF(F4="Sim","Vizinhanca sensivel: evitar cravacao. ",""),"")&amp;IF(H4="ZONA CINZENTA","Decisao do projetista; desempate pelo custo da falha. ","")&amp;IF(E4="alta","Carga alta: dimensionamento pelo projetista. ","")))</f>
        <v/>
      </c>
    </row>
    <row r="5">
      <c r="A5" s="10" t="n"/>
      <c r="B5" s="7" t="n"/>
      <c r="C5" s="11" t="n"/>
      <c r="D5" s="11" t="n"/>
      <c r="E5" s="10" t="n"/>
      <c r="F5" s="10" t="n"/>
      <c r="G5" s="10" t="n"/>
      <c r="H5" s="10">
        <f>IF(OR(C5="",E5=""),"",IF(AND(C5&lt;=Parametros!$B$4,E5&lt;&gt;"alta"),"RASA",IF(OR(C5&gt;=Parametros!$B$5,E5="alta"),"PROFUNDA","ZONA CINZENTA")))</f>
        <v/>
      </c>
      <c r="I5" s="7">
        <f>IF(H5="","",IF(H5="RASA","Sapata (isolada/corrida/associada) ou radier",IF(H5="PROFUNDA",IF(F5="Sim","Estaca helice continua/escavada (sem trepidacao)","Estaca (pre-moldada/helice) ou tubulao*")&amp;IF(G5="Sim","; acesso restrito: raiz/Strauss",""),"Levar ao projetista (decisao final)")))</f>
        <v/>
      </c>
      <c r="J5" s="7">
        <f>IF(H5="","",TRIM(IF(D5&lt;&gt;"",IF(D5&lt;Parametros!$B$6,"NA alto: cautela tubulao a ceu aberto. ",""),"")&amp;IF(H5="PROFUNDA",IF(F5="Sim","Vizinhanca sensivel: evitar cravacao. ",""),"")&amp;IF(H5="ZONA CINZENTA","Decisao do projetista; desempate pelo custo da falha. ","")&amp;IF(E5="alta","Carga alta: dimensionamento pelo projetista. ","")))</f>
        <v/>
      </c>
    </row>
    <row r="6">
      <c r="A6" s="12" t="n"/>
      <c r="B6" s="13" t="n"/>
      <c r="C6" s="14" t="n"/>
      <c r="D6" s="14" t="n"/>
      <c r="E6" s="12" t="n"/>
      <c r="F6" s="12" t="n"/>
      <c r="G6" s="12" t="n"/>
      <c r="H6" s="12">
        <f>IF(OR(C6="",E6=""),"",IF(AND(C6&lt;=Parametros!$B$4,E6&lt;&gt;"alta"),"RASA",IF(OR(C6&gt;=Parametros!$B$5,E6="alta"),"PROFUNDA","ZONA CINZENTA")))</f>
        <v/>
      </c>
      <c r="I6" s="13">
        <f>IF(H6="","",IF(H6="RASA","Sapata (isolada/corrida/associada) ou radier",IF(H6="PROFUNDA",IF(F6="Sim","Estaca helice continua/escavada (sem trepidacao)","Estaca (pre-moldada/helice) ou tubulao*")&amp;IF(G6="Sim","; acesso restrito: raiz/Strauss",""),"Levar ao projetista (decisao final)")))</f>
        <v/>
      </c>
      <c r="J6" s="13">
        <f>IF(H6="","",TRIM(IF(D6&lt;&gt;"",IF(D6&lt;Parametros!$B$6,"NA alto: cautela tubulao a ceu aberto. ",""),"")&amp;IF(H6="PROFUNDA",IF(F6="Sim","Vizinhanca sensivel: evitar cravacao. ",""),"")&amp;IF(H6="ZONA CINZENTA","Decisao do projetista; desempate pelo custo da falha. ","")&amp;IF(E6="alta","Carga alta: dimensionamento pelo projetista. ","")))</f>
        <v/>
      </c>
    </row>
    <row r="7">
      <c r="A7" s="10" t="n"/>
      <c r="B7" s="7" t="n"/>
      <c r="C7" s="11" t="n"/>
      <c r="D7" s="11" t="n"/>
      <c r="E7" s="10" t="n"/>
      <c r="F7" s="10" t="n"/>
      <c r="G7" s="10" t="n"/>
      <c r="H7" s="10">
        <f>IF(OR(C7="",E7=""),"",IF(AND(C7&lt;=Parametros!$B$4,E7&lt;&gt;"alta"),"RASA",IF(OR(C7&gt;=Parametros!$B$5,E7="alta"),"PROFUNDA","ZONA CINZENTA")))</f>
        <v/>
      </c>
      <c r="I7" s="7">
        <f>IF(H7="","",IF(H7="RASA","Sapata (isolada/corrida/associada) ou radier",IF(H7="PROFUNDA",IF(F7="Sim","Estaca helice continua/escavada (sem trepidacao)","Estaca (pre-moldada/helice) ou tubulao*")&amp;IF(G7="Sim","; acesso restrito: raiz/Strauss",""),"Levar ao projetista (decisao final)")))</f>
        <v/>
      </c>
      <c r="J7" s="7">
        <f>IF(H7="","",TRIM(IF(D7&lt;&gt;"",IF(D7&lt;Parametros!$B$6,"NA alto: cautela tubulao a ceu aberto. ",""),"")&amp;IF(H7="PROFUNDA",IF(F7="Sim","Vizinhanca sensivel: evitar cravacao. ",""),"")&amp;IF(H7="ZONA CINZENTA","Decisao do projetista; desempate pelo custo da falha. ","")&amp;IF(E7="alta","Carga alta: dimensionamento pelo projetista. ","")))</f>
        <v/>
      </c>
    </row>
    <row r="8">
      <c r="A8" s="12" t="n"/>
      <c r="B8" s="13" t="n"/>
      <c r="C8" s="14" t="n"/>
      <c r="D8" s="14" t="n"/>
      <c r="E8" s="12" t="n"/>
      <c r="F8" s="12" t="n"/>
      <c r="G8" s="12" t="n"/>
      <c r="H8" s="12">
        <f>IF(OR(C8="",E8=""),"",IF(AND(C8&lt;=Parametros!$B$4,E8&lt;&gt;"alta"),"RASA",IF(OR(C8&gt;=Parametros!$B$5,E8="alta"),"PROFUNDA","ZONA CINZENTA")))</f>
        <v/>
      </c>
      <c r="I8" s="13">
        <f>IF(H8="","",IF(H8="RASA","Sapata (isolada/corrida/associada) ou radier",IF(H8="PROFUNDA",IF(F8="Sim","Estaca helice continua/escavada (sem trepidacao)","Estaca (pre-moldada/helice) ou tubulao*")&amp;IF(G8="Sim","; acesso restrito: raiz/Strauss",""),"Levar ao projetista (decisao final)")))</f>
        <v/>
      </c>
      <c r="J8" s="13">
        <f>IF(H8="","",TRIM(IF(D8&lt;&gt;"",IF(D8&lt;Parametros!$B$6,"NA alto: cautela tubulao a ceu aberto. ",""),"")&amp;IF(H8="PROFUNDA",IF(F8="Sim","Vizinhanca sensivel: evitar cravacao. ",""),"")&amp;IF(H8="ZONA CINZENTA","Decisao do projetista; desempate pelo custo da falha. ","")&amp;IF(E8="alta","Carga alta: dimensionamento pelo projetista. ","")))</f>
        <v/>
      </c>
    </row>
    <row r="9">
      <c r="A9" s="10" t="n"/>
      <c r="B9" s="7" t="n"/>
      <c r="C9" s="11" t="n"/>
      <c r="D9" s="11" t="n"/>
      <c r="E9" s="10" t="n"/>
      <c r="F9" s="10" t="n"/>
      <c r="G9" s="10" t="n"/>
      <c r="H9" s="10">
        <f>IF(OR(C9="",E9=""),"",IF(AND(C9&lt;=Parametros!$B$4,E9&lt;&gt;"alta"),"RASA",IF(OR(C9&gt;=Parametros!$B$5,E9="alta"),"PROFUNDA","ZONA CINZENTA")))</f>
        <v/>
      </c>
      <c r="I9" s="7">
        <f>IF(H9="","",IF(H9="RASA","Sapata (isolada/corrida/associada) ou radier",IF(H9="PROFUNDA",IF(F9="Sim","Estaca helice continua/escavada (sem trepidacao)","Estaca (pre-moldada/helice) ou tubulao*")&amp;IF(G9="Sim","; acesso restrito: raiz/Strauss",""),"Levar ao projetista (decisao final)")))</f>
        <v/>
      </c>
      <c r="J9" s="7">
        <f>IF(H9="","",TRIM(IF(D9&lt;&gt;"",IF(D9&lt;Parametros!$B$6,"NA alto: cautela tubulao a ceu aberto. ",""),"")&amp;IF(H9="PROFUNDA",IF(F9="Sim","Vizinhanca sensivel: evitar cravacao. ",""),"")&amp;IF(H9="ZONA CINZENTA","Decisao do projetista; desempate pelo custo da falha. ","")&amp;IF(E9="alta","Carga alta: dimensionamento pelo projetista. ","")))</f>
        <v/>
      </c>
    </row>
    <row r="10">
      <c r="A10" s="12" t="n"/>
      <c r="B10" s="13" t="n"/>
      <c r="C10" s="14" t="n"/>
      <c r="D10" s="14" t="n"/>
      <c r="E10" s="12" t="n"/>
      <c r="F10" s="12" t="n"/>
      <c r="G10" s="12" t="n"/>
      <c r="H10" s="12">
        <f>IF(OR(C10="",E10=""),"",IF(AND(C10&lt;=Parametros!$B$4,E10&lt;&gt;"alta"),"RASA",IF(OR(C10&gt;=Parametros!$B$5,E10="alta"),"PROFUNDA","ZONA CINZENTA")))</f>
        <v/>
      </c>
      <c r="I10" s="13">
        <f>IF(H10="","",IF(H10="RASA","Sapata (isolada/corrida/associada) ou radier",IF(H10="PROFUNDA",IF(F10="Sim","Estaca helice continua/escavada (sem trepidacao)","Estaca (pre-moldada/helice) ou tubulao*")&amp;IF(G10="Sim","; acesso restrito: raiz/Strauss",""),"Levar ao projetista (decisao final)")))</f>
        <v/>
      </c>
      <c r="J10" s="13">
        <f>IF(H10="","",TRIM(IF(D10&lt;&gt;"",IF(D10&lt;Parametros!$B$6,"NA alto: cautela tubulao a ceu aberto. ",""),"")&amp;IF(H10="PROFUNDA",IF(F10="Sim","Vizinhanca sensivel: evitar cravacao. ",""),"")&amp;IF(H10="ZONA CINZENTA","Decisao do projetista; desempate pelo custo da falha. ","")&amp;IF(E10="alta","Carga alta: dimensionamento pelo projetista. ","")))</f>
        <v/>
      </c>
    </row>
    <row r="11">
      <c r="A11" s="10" t="n"/>
      <c r="B11" s="7" t="n"/>
      <c r="C11" s="11" t="n"/>
      <c r="D11" s="11" t="n"/>
      <c r="E11" s="10" t="n"/>
      <c r="F11" s="10" t="n"/>
      <c r="G11" s="10" t="n"/>
      <c r="H11" s="10">
        <f>IF(OR(C11="",E11=""),"",IF(AND(C11&lt;=Parametros!$B$4,E11&lt;&gt;"alta"),"RASA",IF(OR(C11&gt;=Parametros!$B$5,E11="alta"),"PROFUNDA","ZONA CINZENTA")))</f>
        <v/>
      </c>
      <c r="I11" s="7">
        <f>IF(H11="","",IF(H11="RASA","Sapata (isolada/corrida/associada) ou radier",IF(H11="PROFUNDA",IF(F11="Sim","Estaca helice continua/escavada (sem trepidacao)","Estaca (pre-moldada/helice) ou tubulao*")&amp;IF(G11="Sim","; acesso restrito: raiz/Strauss",""),"Levar ao projetista (decisao final)")))</f>
        <v/>
      </c>
      <c r="J11" s="7">
        <f>IF(H11="","",TRIM(IF(D11&lt;&gt;"",IF(D11&lt;Parametros!$B$6,"NA alto: cautela tubulao a ceu aberto. ",""),"")&amp;IF(H11="PROFUNDA",IF(F11="Sim","Vizinhanca sensivel: evitar cravacao. ",""),"")&amp;IF(H11="ZONA CINZENTA","Decisao do projetista; desempate pelo custo da falha. ","")&amp;IF(E11="alta","Carga alta: dimensionamento pelo projetista. ","")))</f>
        <v/>
      </c>
    </row>
    <row r="12">
      <c r="A12" s="12" t="n"/>
      <c r="B12" s="13" t="n"/>
      <c r="C12" s="14" t="n"/>
      <c r="D12" s="14" t="n"/>
      <c r="E12" s="12" t="n"/>
      <c r="F12" s="12" t="n"/>
      <c r="G12" s="12" t="n"/>
      <c r="H12" s="12">
        <f>IF(OR(C12="",E12=""),"",IF(AND(C12&lt;=Parametros!$B$4,E12&lt;&gt;"alta"),"RASA",IF(OR(C12&gt;=Parametros!$B$5,E12="alta"),"PROFUNDA","ZONA CINZENTA")))</f>
        <v/>
      </c>
      <c r="I12" s="13">
        <f>IF(H12="","",IF(H12="RASA","Sapata (isolada/corrida/associada) ou radier",IF(H12="PROFUNDA",IF(F12="Sim","Estaca helice continua/escavada (sem trepidacao)","Estaca (pre-moldada/helice) ou tubulao*")&amp;IF(G12="Sim","; acesso restrito: raiz/Strauss",""),"Levar ao projetista (decisao final)")))</f>
        <v/>
      </c>
      <c r="J12" s="13">
        <f>IF(H12="","",TRIM(IF(D12&lt;&gt;"",IF(D12&lt;Parametros!$B$6,"NA alto: cautela tubulao a ceu aberto. ",""),"")&amp;IF(H12="PROFUNDA",IF(F12="Sim","Vizinhanca sensivel: evitar cravacao. ",""),"")&amp;IF(H12="ZONA CINZENTA","Decisao do projetista; desempate pelo custo da falha. ","")&amp;IF(E12="alta","Carga alta: dimensionamento pelo projetista. ","")))</f>
        <v/>
      </c>
    </row>
    <row r="13">
      <c r="A13" s="10" t="n"/>
      <c r="B13" s="7" t="n"/>
      <c r="C13" s="11" t="n"/>
      <c r="D13" s="11" t="n"/>
      <c r="E13" s="10" t="n"/>
      <c r="F13" s="10" t="n"/>
      <c r="G13" s="10" t="n"/>
      <c r="H13" s="10">
        <f>IF(OR(C13="",E13=""),"",IF(AND(C13&lt;=Parametros!$B$4,E13&lt;&gt;"alta"),"RASA",IF(OR(C13&gt;=Parametros!$B$5,E13="alta"),"PROFUNDA","ZONA CINZENTA")))</f>
        <v/>
      </c>
      <c r="I13" s="7">
        <f>IF(H13="","",IF(H13="RASA","Sapata (isolada/corrida/associada) ou radier",IF(H13="PROFUNDA",IF(F13="Sim","Estaca helice continua/escavada (sem trepidacao)","Estaca (pre-moldada/helice) ou tubulao*")&amp;IF(G13="Sim","; acesso restrito: raiz/Strauss",""),"Levar ao projetista (decisao final)")))</f>
        <v/>
      </c>
      <c r="J13" s="7">
        <f>IF(H13="","",TRIM(IF(D13&lt;&gt;"",IF(D13&lt;Parametros!$B$6,"NA alto: cautela tubulao a ceu aberto. ",""),"")&amp;IF(H13="PROFUNDA",IF(F13="Sim","Vizinhanca sensivel: evitar cravacao. ",""),"")&amp;IF(H13="ZONA CINZENTA","Decisao do projetista; desempate pelo custo da falha. ","")&amp;IF(E13="alta","Carga alta: dimensionamento pelo projetista. ","")))</f>
        <v/>
      </c>
    </row>
    <row r="14">
      <c r="A14" s="12" t="n"/>
      <c r="B14" s="13" t="n"/>
      <c r="C14" s="14" t="n"/>
      <c r="D14" s="14" t="n"/>
      <c r="E14" s="12" t="n"/>
      <c r="F14" s="12" t="n"/>
      <c r="G14" s="12" t="n"/>
      <c r="H14" s="12">
        <f>IF(OR(C14="",E14=""),"",IF(AND(C14&lt;=Parametros!$B$4,E14&lt;&gt;"alta"),"RASA",IF(OR(C14&gt;=Parametros!$B$5,E14="alta"),"PROFUNDA","ZONA CINZENTA")))</f>
        <v/>
      </c>
      <c r="I14" s="13">
        <f>IF(H14="","",IF(H14="RASA","Sapata (isolada/corrida/associada) ou radier",IF(H14="PROFUNDA",IF(F14="Sim","Estaca helice continua/escavada (sem trepidacao)","Estaca (pre-moldada/helice) ou tubulao*")&amp;IF(G14="Sim","; acesso restrito: raiz/Strauss",""),"Levar ao projetista (decisao final)")))</f>
        <v/>
      </c>
      <c r="J14" s="13">
        <f>IF(H14="","",TRIM(IF(D14&lt;&gt;"",IF(D14&lt;Parametros!$B$6,"NA alto: cautela tubulao a ceu aberto. ",""),"")&amp;IF(H14="PROFUNDA",IF(F14="Sim","Vizinhanca sensivel: evitar cravacao. ",""),"")&amp;IF(H14="ZONA CINZENTA","Decisao do projetista; desempate pelo custo da falha. ","")&amp;IF(E14="alta","Carga alta: dimensionamento pelo projetista. ","")))</f>
        <v/>
      </c>
    </row>
    <row r="15">
      <c r="A15" s="10" t="n"/>
      <c r="B15" s="7" t="n"/>
      <c r="C15" s="11" t="n"/>
      <c r="D15" s="11" t="n"/>
      <c r="E15" s="10" t="n"/>
      <c r="F15" s="10" t="n"/>
      <c r="G15" s="10" t="n"/>
      <c r="H15" s="10">
        <f>IF(OR(C15="",E15=""),"",IF(AND(C15&lt;=Parametros!$B$4,E15&lt;&gt;"alta"),"RASA",IF(OR(C15&gt;=Parametros!$B$5,E15="alta"),"PROFUNDA","ZONA CINZENTA")))</f>
        <v/>
      </c>
      <c r="I15" s="7">
        <f>IF(H15="","",IF(H15="RASA","Sapata (isolada/corrida/associada) ou radier",IF(H15="PROFUNDA",IF(F15="Sim","Estaca helice continua/escavada (sem trepidacao)","Estaca (pre-moldada/helice) ou tubulao*")&amp;IF(G15="Sim","; acesso restrito: raiz/Strauss",""),"Levar ao projetista (decisao final)")))</f>
        <v/>
      </c>
      <c r="J15" s="7">
        <f>IF(H15="","",TRIM(IF(D15&lt;&gt;"",IF(D15&lt;Parametros!$B$6,"NA alto: cautela tubulao a ceu aberto. ",""),"")&amp;IF(H15="PROFUNDA",IF(F15="Sim","Vizinhanca sensivel: evitar cravacao. ",""),"")&amp;IF(H15="ZONA CINZENTA","Decisao do projetista; desempate pelo custo da falha. ","")&amp;IF(E15="alta","Carga alta: dimensionamento pelo projetista. ","")))</f>
        <v/>
      </c>
    </row>
    <row r="16">
      <c r="A16" s="12" t="n"/>
      <c r="B16" s="13" t="n"/>
      <c r="C16" s="14" t="n"/>
      <c r="D16" s="14" t="n"/>
      <c r="E16" s="12" t="n"/>
      <c r="F16" s="12" t="n"/>
      <c r="G16" s="12" t="n"/>
      <c r="H16" s="12">
        <f>IF(OR(C16="",E16=""),"",IF(AND(C16&lt;=Parametros!$B$4,E16&lt;&gt;"alta"),"RASA",IF(OR(C16&gt;=Parametros!$B$5,E16="alta"),"PROFUNDA","ZONA CINZENTA")))</f>
        <v/>
      </c>
      <c r="I16" s="13">
        <f>IF(H16="","",IF(H16="RASA","Sapata (isolada/corrida/associada) ou radier",IF(H16="PROFUNDA",IF(F16="Sim","Estaca helice continua/escavada (sem trepidacao)","Estaca (pre-moldada/helice) ou tubulao*")&amp;IF(G16="Sim","; acesso restrito: raiz/Strauss",""),"Levar ao projetista (decisao final)")))</f>
        <v/>
      </c>
      <c r="J16" s="13">
        <f>IF(H16="","",TRIM(IF(D16&lt;&gt;"",IF(D16&lt;Parametros!$B$6,"NA alto: cautela tubulao a ceu aberto. ",""),"")&amp;IF(H16="PROFUNDA",IF(F16="Sim","Vizinhanca sensivel: evitar cravacao. ",""),"")&amp;IF(H16="ZONA CINZENTA","Decisao do projetista; desempate pelo custo da falha. ","")&amp;IF(E16="alta","Carga alta: dimensionamento pelo projetista. ","")))</f>
        <v/>
      </c>
    </row>
    <row r="17">
      <c r="A17" s="10" t="n"/>
      <c r="B17" s="7" t="n"/>
      <c r="C17" s="11" t="n"/>
      <c r="D17" s="11" t="n"/>
      <c r="E17" s="10" t="n"/>
      <c r="F17" s="10" t="n"/>
      <c r="G17" s="10" t="n"/>
      <c r="H17" s="10">
        <f>IF(OR(C17="",E17=""),"",IF(AND(C17&lt;=Parametros!$B$4,E17&lt;&gt;"alta"),"RASA",IF(OR(C17&gt;=Parametros!$B$5,E17="alta"),"PROFUNDA","ZONA CINZENTA")))</f>
        <v/>
      </c>
      <c r="I17" s="7">
        <f>IF(H17="","",IF(H17="RASA","Sapata (isolada/corrida/associada) ou radier",IF(H17="PROFUNDA",IF(F17="Sim","Estaca helice continua/escavada (sem trepidacao)","Estaca (pre-moldada/helice) ou tubulao*")&amp;IF(G17="Sim","; acesso restrito: raiz/Strauss",""),"Levar ao projetista (decisao final)")))</f>
        <v/>
      </c>
      <c r="J17" s="7">
        <f>IF(H17="","",TRIM(IF(D17&lt;&gt;"",IF(D17&lt;Parametros!$B$6,"NA alto: cautela tubulao a ceu aberto. ",""),"")&amp;IF(H17="PROFUNDA",IF(F17="Sim","Vizinhanca sensivel: evitar cravacao. ",""),"")&amp;IF(H17="ZONA CINZENTA","Decisao do projetista; desempate pelo custo da falha. ","")&amp;IF(E17="alta","Carga alta: dimensionamento pelo projetista. ","")))</f>
        <v/>
      </c>
    </row>
    <row r="18">
      <c r="A18" s="12" t="n"/>
      <c r="B18" s="13" t="n"/>
      <c r="C18" s="14" t="n"/>
      <c r="D18" s="14" t="n"/>
      <c r="E18" s="12" t="n"/>
      <c r="F18" s="12" t="n"/>
      <c r="G18" s="12" t="n"/>
      <c r="H18" s="12">
        <f>IF(OR(C18="",E18=""),"",IF(AND(C18&lt;=Parametros!$B$4,E18&lt;&gt;"alta"),"RASA",IF(OR(C18&gt;=Parametros!$B$5,E18="alta"),"PROFUNDA","ZONA CINZENTA")))</f>
        <v/>
      </c>
      <c r="I18" s="13">
        <f>IF(H18="","",IF(H18="RASA","Sapata (isolada/corrida/associada) ou radier",IF(H18="PROFUNDA",IF(F18="Sim","Estaca helice continua/escavada (sem trepidacao)","Estaca (pre-moldada/helice) ou tubulao*")&amp;IF(G18="Sim","; acesso restrito: raiz/Strauss",""),"Levar ao projetista (decisao final)")))</f>
        <v/>
      </c>
      <c r="J18" s="13">
        <f>IF(H18="","",TRIM(IF(D18&lt;&gt;"",IF(D18&lt;Parametros!$B$6,"NA alto: cautela tubulao a ceu aberto. ",""),"")&amp;IF(H18="PROFUNDA",IF(F18="Sim","Vizinhanca sensivel: evitar cravacao. ",""),"")&amp;IF(H18="ZONA CINZENTA","Decisao do projetista; desempate pelo custo da falha. ","")&amp;IF(E18="alta","Carga alta: dimensionamento pelo projetista. ","")))</f>
        <v/>
      </c>
    </row>
    <row r="19">
      <c r="A19" s="10" t="n"/>
      <c r="B19" s="7" t="n"/>
      <c r="C19" s="11" t="n"/>
      <c r="D19" s="11" t="n"/>
      <c r="E19" s="10" t="n"/>
      <c r="F19" s="10" t="n"/>
      <c r="G19" s="10" t="n"/>
      <c r="H19" s="10">
        <f>IF(OR(C19="",E19=""),"",IF(AND(C19&lt;=Parametros!$B$4,E19&lt;&gt;"alta"),"RASA",IF(OR(C19&gt;=Parametros!$B$5,E19="alta"),"PROFUNDA","ZONA CINZENTA")))</f>
        <v/>
      </c>
      <c r="I19" s="7">
        <f>IF(H19="","",IF(H19="RASA","Sapata (isolada/corrida/associada) ou radier",IF(H19="PROFUNDA",IF(F19="Sim","Estaca helice continua/escavada (sem trepidacao)","Estaca (pre-moldada/helice) ou tubulao*")&amp;IF(G19="Sim","; acesso restrito: raiz/Strauss",""),"Levar ao projetista (decisao final)")))</f>
        <v/>
      </c>
      <c r="J19" s="7">
        <f>IF(H19="","",TRIM(IF(D19&lt;&gt;"",IF(D19&lt;Parametros!$B$6,"NA alto: cautela tubulao a ceu aberto. ",""),"")&amp;IF(H19="PROFUNDA",IF(F19="Sim","Vizinhanca sensivel: evitar cravacao. ",""),"")&amp;IF(H19="ZONA CINZENTA","Decisao do projetista; desempate pelo custo da falha. ","")&amp;IF(E19="alta","Carga alta: dimensionamento pelo projetista. ","")))</f>
        <v/>
      </c>
    </row>
    <row r="20">
      <c r="A20" s="12" t="n"/>
      <c r="B20" s="13" t="n"/>
      <c r="C20" s="14" t="n"/>
      <c r="D20" s="14" t="n"/>
      <c r="E20" s="12" t="n"/>
      <c r="F20" s="12" t="n"/>
      <c r="G20" s="12" t="n"/>
      <c r="H20" s="12">
        <f>IF(OR(C20="",E20=""),"",IF(AND(C20&lt;=Parametros!$B$4,E20&lt;&gt;"alta"),"RASA",IF(OR(C20&gt;=Parametros!$B$5,E20="alta"),"PROFUNDA","ZONA CINZENTA")))</f>
        <v/>
      </c>
      <c r="I20" s="13">
        <f>IF(H20="","",IF(H20="RASA","Sapata (isolada/corrida/associada) ou radier",IF(H20="PROFUNDA",IF(F20="Sim","Estaca helice continua/escavada (sem trepidacao)","Estaca (pre-moldada/helice) ou tubulao*")&amp;IF(G20="Sim","; acesso restrito: raiz/Strauss",""),"Levar ao projetista (decisao final)")))</f>
        <v/>
      </c>
      <c r="J20" s="13">
        <f>IF(H20="","",TRIM(IF(D20&lt;&gt;"",IF(D20&lt;Parametros!$B$6,"NA alto: cautela tubulao a ceu aberto. ",""),"")&amp;IF(H20="PROFUNDA",IF(F20="Sim","Vizinhanca sensivel: evitar cravacao. ",""),"")&amp;IF(H20="ZONA CINZENTA","Decisao do projetista; desempate pelo custo da falha. ","")&amp;IF(E20="alta","Carga alta: dimensionamento pelo projetista. ","")))</f>
        <v/>
      </c>
    </row>
    <row r="21">
      <c r="A21" s="10" t="n"/>
      <c r="B21" s="7" t="n"/>
      <c r="C21" s="11" t="n"/>
      <c r="D21" s="11" t="n"/>
      <c r="E21" s="10" t="n"/>
      <c r="F21" s="10" t="n"/>
      <c r="G21" s="10" t="n"/>
      <c r="H21" s="10">
        <f>IF(OR(C21="",E21=""),"",IF(AND(C21&lt;=Parametros!$B$4,E21&lt;&gt;"alta"),"RASA",IF(OR(C21&gt;=Parametros!$B$5,E21="alta"),"PROFUNDA","ZONA CINZENTA")))</f>
        <v/>
      </c>
      <c r="I21" s="7">
        <f>IF(H21="","",IF(H21="RASA","Sapata (isolada/corrida/associada) ou radier",IF(H21="PROFUNDA",IF(F21="Sim","Estaca helice continua/escavada (sem trepidacao)","Estaca (pre-moldada/helice) ou tubulao*")&amp;IF(G21="Sim","; acesso restrito: raiz/Strauss",""),"Levar ao projetista (decisao final)")))</f>
        <v/>
      </c>
      <c r="J21" s="7">
        <f>IF(H21="","",TRIM(IF(D21&lt;&gt;"",IF(D21&lt;Parametros!$B$6,"NA alto: cautela tubulao a ceu aberto. ",""),"")&amp;IF(H21="PROFUNDA",IF(F21="Sim","Vizinhanca sensivel: evitar cravacao. ",""),"")&amp;IF(H21="ZONA CINZENTA","Decisao do projetista; desempate pelo custo da falha. ","")&amp;IF(E21="alta","Carga alta: dimensionamento pelo projetista. ","")))</f>
        <v/>
      </c>
    </row>
    <row r="22">
      <c r="A22" s="12" t="n"/>
      <c r="B22" s="13" t="n"/>
      <c r="C22" s="14" t="n"/>
      <c r="D22" s="14" t="n"/>
      <c r="E22" s="12" t="n"/>
      <c r="F22" s="12" t="n"/>
      <c r="G22" s="12" t="n"/>
      <c r="H22" s="12">
        <f>IF(OR(C22="",E22=""),"",IF(AND(C22&lt;=Parametros!$B$4,E22&lt;&gt;"alta"),"RASA",IF(OR(C22&gt;=Parametros!$B$5,E22="alta"),"PROFUNDA","ZONA CINZENTA")))</f>
        <v/>
      </c>
      <c r="I22" s="13">
        <f>IF(H22="","",IF(H22="RASA","Sapata (isolada/corrida/associada) ou radier",IF(H22="PROFUNDA",IF(F22="Sim","Estaca helice continua/escavada (sem trepidacao)","Estaca (pre-moldada/helice) ou tubulao*")&amp;IF(G22="Sim","; acesso restrito: raiz/Strauss",""),"Levar ao projetista (decisao final)")))</f>
        <v/>
      </c>
      <c r="J22" s="13">
        <f>IF(H22="","",TRIM(IF(D22&lt;&gt;"",IF(D22&lt;Parametros!$B$6,"NA alto: cautela tubulao a ceu aberto. ",""),"")&amp;IF(H22="PROFUNDA",IF(F22="Sim","Vizinhanca sensivel: evitar cravacao. ",""),"")&amp;IF(H22="ZONA CINZENTA","Decisao do projetista; desempate pelo custo da falha. ","")&amp;IF(E22="alta","Carga alta: dimensionamento pelo projetista. ","")))</f>
        <v/>
      </c>
    </row>
    <row r="23">
      <c r="A23" s="10" t="n"/>
      <c r="B23" s="7" t="n"/>
      <c r="C23" s="11" t="n"/>
      <c r="D23" s="11" t="n"/>
      <c r="E23" s="10" t="n"/>
      <c r="F23" s="10" t="n"/>
      <c r="G23" s="10" t="n"/>
      <c r="H23" s="10">
        <f>IF(OR(C23="",E23=""),"",IF(AND(C23&lt;=Parametros!$B$4,E23&lt;&gt;"alta"),"RASA",IF(OR(C23&gt;=Parametros!$B$5,E23="alta"),"PROFUNDA","ZONA CINZENTA")))</f>
        <v/>
      </c>
      <c r="I23" s="7">
        <f>IF(H23="","",IF(H23="RASA","Sapata (isolada/corrida/associada) ou radier",IF(H23="PROFUNDA",IF(F23="Sim","Estaca helice continua/escavada (sem trepidacao)","Estaca (pre-moldada/helice) ou tubulao*")&amp;IF(G23="Sim","; acesso restrito: raiz/Strauss",""),"Levar ao projetista (decisao final)")))</f>
        <v/>
      </c>
      <c r="J23" s="7">
        <f>IF(H23="","",TRIM(IF(D23&lt;&gt;"",IF(D23&lt;Parametros!$B$6,"NA alto: cautela tubulao a ceu aberto. ",""),"")&amp;IF(H23="PROFUNDA",IF(F23="Sim","Vizinhanca sensivel: evitar cravacao. ",""),"")&amp;IF(H23="ZONA CINZENTA","Decisao do projetista; desempate pelo custo da falha. ","")&amp;IF(E23="alta","Carga alta: dimensionamento pelo projetista. ","")))</f>
        <v/>
      </c>
    </row>
    <row r="24">
      <c r="A24" s="12" t="n"/>
      <c r="B24" s="13" t="n"/>
      <c r="C24" s="14" t="n"/>
      <c r="D24" s="14" t="n"/>
      <c r="E24" s="12" t="n"/>
      <c r="F24" s="12" t="n"/>
      <c r="G24" s="12" t="n"/>
      <c r="H24" s="12">
        <f>IF(OR(C24="",E24=""),"",IF(AND(C24&lt;=Parametros!$B$4,E24&lt;&gt;"alta"),"RASA",IF(OR(C24&gt;=Parametros!$B$5,E24="alta"),"PROFUNDA","ZONA CINZENTA")))</f>
        <v/>
      </c>
      <c r="I24" s="13">
        <f>IF(H24="","",IF(H24="RASA","Sapata (isolada/corrida/associada) ou radier",IF(H24="PROFUNDA",IF(F24="Sim","Estaca helice continua/escavada (sem trepidacao)","Estaca (pre-moldada/helice) ou tubulao*")&amp;IF(G24="Sim","; acesso restrito: raiz/Strauss",""),"Levar ao projetista (decisao final)")))</f>
        <v/>
      </c>
      <c r="J24" s="13">
        <f>IF(H24="","",TRIM(IF(D24&lt;&gt;"",IF(D24&lt;Parametros!$B$6,"NA alto: cautela tubulao a ceu aberto. ",""),"")&amp;IF(H24="PROFUNDA",IF(F24="Sim","Vizinhanca sensivel: evitar cravacao. ",""),"")&amp;IF(H24="ZONA CINZENTA","Decisao do projetista; desempate pelo custo da falha. ","")&amp;IF(E24="alta","Carga alta: dimensionamento pelo projetista. ","")))</f>
        <v/>
      </c>
    </row>
    <row r="25">
      <c r="A25" s="10" t="n"/>
      <c r="B25" s="7" t="n"/>
      <c r="C25" s="11" t="n"/>
      <c r="D25" s="11" t="n"/>
      <c r="E25" s="10" t="n"/>
      <c r="F25" s="10" t="n"/>
      <c r="G25" s="10" t="n"/>
      <c r="H25" s="10">
        <f>IF(OR(C25="",E25=""),"",IF(AND(C25&lt;=Parametros!$B$4,E25&lt;&gt;"alta"),"RASA",IF(OR(C25&gt;=Parametros!$B$5,E25="alta"),"PROFUNDA","ZONA CINZENTA")))</f>
        <v/>
      </c>
      <c r="I25" s="7">
        <f>IF(H25="","",IF(H25="RASA","Sapata (isolada/corrida/associada) ou radier",IF(H25="PROFUNDA",IF(F25="Sim","Estaca helice continua/escavada (sem trepidacao)","Estaca (pre-moldada/helice) ou tubulao*")&amp;IF(G25="Sim","; acesso restrito: raiz/Strauss",""),"Levar ao projetista (decisao final)")))</f>
        <v/>
      </c>
      <c r="J25" s="7">
        <f>IF(H25="","",TRIM(IF(D25&lt;&gt;"",IF(D25&lt;Parametros!$B$6,"NA alto: cautela tubulao a ceu aberto. ",""),"")&amp;IF(H25="PROFUNDA",IF(F25="Sim","Vizinhanca sensivel: evitar cravacao. ",""),"")&amp;IF(H25="ZONA CINZENTA","Decisao do projetista; desempate pelo custo da falha. ","")&amp;IF(E25="alta","Carga alta: dimensionamento pelo projetista. ","")))</f>
        <v/>
      </c>
    </row>
    <row r="26">
      <c r="A26" s="12" t="n"/>
      <c r="B26" s="13" t="n"/>
      <c r="C26" s="14" t="n"/>
      <c r="D26" s="14" t="n"/>
      <c r="E26" s="12" t="n"/>
      <c r="F26" s="12" t="n"/>
      <c r="G26" s="12" t="n"/>
      <c r="H26" s="12">
        <f>IF(OR(C26="",E26=""),"",IF(AND(C26&lt;=Parametros!$B$4,E26&lt;&gt;"alta"),"RASA",IF(OR(C26&gt;=Parametros!$B$5,E26="alta"),"PROFUNDA","ZONA CINZENTA")))</f>
        <v/>
      </c>
      <c r="I26" s="13">
        <f>IF(H26="","",IF(H26="RASA","Sapata (isolada/corrida/associada) ou radier",IF(H26="PROFUNDA",IF(F26="Sim","Estaca helice continua/escavada (sem trepidacao)","Estaca (pre-moldada/helice) ou tubulao*")&amp;IF(G26="Sim","; acesso restrito: raiz/Strauss",""),"Levar ao projetista (decisao final)")))</f>
        <v/>
      </c>
      <c r="J26" s="13">
        <f>IF(H26="","",TRIM(IF(D26&lt;&gt;"",IF(D26&lt;Parametros!$B$6,"NA alto: cautela tubulao a ceu aberto. ",""),"")&amp;IF(H26="PROFUNDA",IF(F26="Sim","Vizinhanca sensivel: evitar cravacao. ",""),"")&amp;IF(H26="ZONA CINZENTA","Decisao do projetista; desempate pelo custo da falha. ","")&amp;IF(E26="alta","Carga alta: dimensionamento pelo projetista. ","")))</f>
        <v/>
      </c>
    </row>
    <row r="27">
      <c r="A27" s="10" t="n"/>
      <c r="B27" s="7" t="n"/>
      <c r="C27" s="11" t="n"/>
      <c r="D27" s="11" t="n"/>
      <c r="E27" s="10" t="n"/>
      <c r="F27" s="10" t="n"/>
      <c r="G27" s="10" t="n"/>
      <c r="H27" s="10">
        <f>IF(OR(C27="",E27=""),"",IF(AND(C27&lt;=Parametros!$B$4,E27&lt;&gt;"alta"),"RASA",IF(OR(C27&gt;=Parametros!$B$5,E27="alta"),"PROFUNDA","ZONA CINZENTA")))</f>
        <v/>
      </c>
      <c r="I27" s="7">
        <f>IF(H27="","",IF(H27="RASA","Sapata (isolada/corrida/associada) ou radier",IF(H27="PROFUNDA",IF(F27="Sim","Estaca helice continua/escavada (sem trepidacao)","Estaca (pre-moldada/helice) ou tubulao*")&amp;IF(G27="Sim","; acesso restrito: raiz/Strauss",""),"Levar ao projetista (decisao final)")))</f>
        <v/>
      </c>
      <c r="J27" s="7">
        <f>IF(H27="","",TRIM(IF(D27&lt;&gt;"",IF(D27&lt;Parametros!$B$6,"NA alto: cautela tubulao a ceu aberto. ",""),"")&amp;IF(H27="PROFUNDA",IF(F27="Sim","Vizinhanca sensivel: evitar cravacao. ",""),"")&amp;IF(H27="ZONA CINZENTA","Decisao do projetista; desempate pelo custo da falha. ","")&amp;IF(E27="alta","Carga alta: dimensionamento pelo projetista. ","")))</f>
        <v/>
      </c>
    </row>
    <row r="28">
      <c r="A28" s="12" t="n"/>
      <c r="B28" s="13" t="n"/>
      <c r="C28" s="14" t="n"/>
      <c r="D28" s="14" t="n"/>
      <c r="E28" s="12" t="n"/>
      <c r="F28" s="12" t="n"/>
      <c r="G28" s="12" t="n"/>
      <c r="H28" s="12">
        <f>IF(OR(C28="",E28=""),"",IF(AND(C28&lt;=Parametros!$B$4,E28&lt;&gt;"alta"),"RASA",IF(OR(C28&gt;=Parametros!$B$5,E28="alta"),"PROFUNDA","ZONA CINZENTA")))</f>
        <v/>
      </c>
      <c r="I28" s="13">
        <f>IF(H28="","",IF(H28="RASA","Sapata (isolada/corrida/associada) ou radier",IF(H28="PROFUNDA",IF(F28="Sim","Estaca helice continua/escavada (sem trepidacao)","Estaca (pre-moldada/helice) ou tubulao*")&amp;IF(G28="Sim","; acesso restrito: raiz/Strauss",""),"Levar ao projetista (decisao final)")))</f>
        <v/>
      </c>
      <c r="J28" s="13">
        <f>IF(H28="","",TRIM(IF(D28&lt;&gt;"",IF(D28&lt;Parametros!$B$6,"NA alto: cautela tubulao a ceu aberto. ",""),"")&amp;IF(H28="PROFUNDA",IF(F28="Sim","Vizinhanca sensivel: evitar cravacao. ",""),"")&amp;IF(H28="ZONA CINZENTA","Decisao do projetista; desempate pelo custo da falha. ","")&amp;IF(E28="alta","Carga alta: dimensionamento pelo projetista. ","")))</f>
        <v/>
      </c>
    </row>
    <row r="29">
      <c r="A29" s="10" t="n"/>
      <c r="B29" s="7" t="n"/>
      <c r="C29" s="11" t="n"/>
      <c r="D29" s="11" t="n"/>
      <c r="E29" s="10" t="n"/>
      <c r="F29" s="10" t="n"/>
      <c r="G29" s="10" t="n"/>
      <c r="H29" s="10">
        <f>IF(OR(C29="",E29=""),"",IF(AND(C29&lt;=Parametros!$B$4,E29&lt;&gt;"alta"),"RASA",IF(OR(C29&gt;=Parametros!$B$5,E29="alta"),"PROFUNDA","ZONA CINZENTA")))</f>
        <v/>
      </c>
      <c r="I29" s="7">
        <f>IF(H29="","",IF(H29="RASA","Sapata (isolada/corrida/associada) ou radier",IF(H29="PROFUNDA",IF(F29="Sim","Estaca helice continua/escavada (sem trepidacao)","Estaca (pre-moldada/helice) ou tubulao*")&amp;IF(G29="Sim","; acesso restrito: raiz/Strauss",""),"Levar ao projetista (decisao final)")))</f>
        <v/>
      </c>
      <c r="J29" s="7">
        <f>IF(H29="","",TRIM(IF(D29&lt;&gt;"",IF(D29&lt;Parametros!$B$6,"NA alto: cautela tubulao a ceu aberto. ",""),"")&amp;IF(H29="PROFUNDA",IF(F29="Sim","Vizinhanca sensivel: evitar cravacao. ",""),"")&amp;IF(H29="ZONA CINZENTA","Decisao do projetista; desempate pelo custo da falha. ","")&amp;IF(E29="alta","Carga alta: dimensionamento pelo projetista. ","")))</f>
        <v/>
      </c>
    </row>
    <row r="30">
      <c r="A30" s="12" t="n"/>
      <c r="B30" s="13" t="n"/>
      <c r="C30" s="14" t="n"/>
      <c r="D30" s="14" t="n"/>
      <c r="E30" s="12" t="n"/>
      <c r="F30" s="12" t="n"/>
      <c r="G30" s="12" t="n"/>
      <c r="H30" s="12">
        <f>IF(OR(C30="",E30=""),"",IF(AND(C30&lt;=Parametros!$B$4,E30&lt;&gt;"alta"),"RASA",IF(OR(C30&gt;=Parametros!$B$5,E30="alta"),"PROFUNDA","ZONA CINZENTA")))</f>
        <v/>
      </c>
      <c r="I30" s="13">
        <f>IF(H30="","",IF(H30="RASA","Sapata (isolada/corrida/associada) ou radier",IF(H30="PROFUNDA",IF(F30="Sim","Estaca helice continua/escavada (sem trepidacao)","Estaca (pre-moldada/helice) ou tubulao*")&amp;IF(G30="Sim","; acesso restrito: raiz/Strauss",""),"Levar ao projetista (decisao final)")))</f>
        <v/>
      </c>
      <c r="J30" s="13">
        <f>IF(H30="","",TRIM(IF(D30&lt;&gt;"",IF(D30&lt;Parametros!$B$6,"NA alto: cautela tubulao a ceu aberto. ",""),"")&amp;IF(H30="PROFUNDA",IF(F30="Sim","Vizinhanca sensivel: evitar cravacao. ",""),"")&amp;IF(H30="ZONA CINZENTA","Decisao do projetista; desempate pelo custo da falha. ","")&amp;IF(E30="alta","Carga alta: dimensionamento pelo projetista. ","")))</f>
        <v/>
      </c>
    </row>
    <row r="31">
      <c r="A31" s="10" t="n"/>
      <c r="B31" s="7" t="n"/>
      <c r="C31" s="11" t="n"/>
      <c r="D31" s="11" t="n"/>
      <c r="E31" s="10" t="n"/>
      <c r="F31" s="10" t="n"/>
      <c r="G31" s="10" t="n"/>
      <c r="H31" s="10">
        <f>IF(OR(C31="",E31=""),"",IF(AND(C31&lt;=Parametros!$B$4,E31&lt;&gt;"alta"),"RASA",IF(OR(C31&gt;=Parametros!$B$5,E31="alta"),"PROFUNDA","ZONA CINZENTA")))</f>
        <v/>
      </c>
      <c r="I31" s="7">
        <f>IF(H31="","",IF(H31="RASA","Sapata (isolada/corrida/associada) ou radier",IF(H31="PROFUNDA",IF(F31="Sim","Estaca helice continua/escavada (sem trepidacao)","Estaca (pre-moldada/helice) ou tubulao*")&amp;IF(G31="Sim","; acesso restrito: raiz/Strauss",""),"Levar ao projetista (decisao final)")))</f>
        <v/>
      </c>
      <c r="J31" s="7">
        <f>IF(H31="","",TRIM(IF(D31&lt;&gt;"",IF(D31&lt;Parametros!$B$6,"NA alto: cautela tubulao a ceu aberto. ",""),"")&amp;IF(H31="PROFUNDA",IF(F31="Sim","Vizinhanca sensivel: evitar cravacao. ",""),"")&amp;IF(H31="ZONA CINZENTA","Decisao do projetista; desempate pelo custo da falha. ","")&amp;IF(E31="alta","Carga alta: dimensionamento pelo projetista. ","")))</f>
        <v/>
      </c>
    </row>
    <row r="32">
      <c r="A32" s="12" t="n"/>
      <c r="B32" s="13" t="n"/>
      <c r="C32" s="14" t="n"/>
      <c r="D32" s="14" t="n"/>
      <c r="E32" s="12" t="n"/>
      <c r="F32" s="12" t="n"/>
      <c r="G32" s="12" t="n"/>
      <c r="H32" s="12">
        <f>IF(OR(C32="",E32=""),"",IF(AND(C32&lt;=Parametros!$B$4,E32&lt;&gt;"alta"),"RASA",IF(OR(C32&gt;=Parametros!$B$5,E32="alta"),"PROFUNDA","ZONA CINZENTA")))</f>
        <v/>
      </c>
      <c r="I32" s="13">
        <f>IF(H32="","",IF(H32="RASA","Sapata (isolada/corrida/associada) ou radier",IF(H32="PROFUNDA",IF(F32="Sim","Estaca helice continua/escavada (sem trepidacao)","Estaca (pre-moldada/helice) ou tubulao*")&amp;IF(G32="Sim","; acesso restrito: raiz/Strauss",""),"Levar ao projetista (decisao final)")))</f>
        <v/>
      </c>
      <c r="J32" s="13">
        <f>IF(H32="","",TRIM(IF(D32&lt;&gt;"",IF(D32&lt;Parametros!$B$6,"NA alto: cautela tubulao a ceu aberto. ",""),"")&amp;IF(H32="PROFUNDA",IF(F32="Sim","Vizinhanca sensivel: evitar cravacao. ",""),"")&amp;IF(H32="ZONA CINZENTA","Decisao do projetista; desempate pelo custo da falha. ","")&amp;IF(E32="alta","Carga alta: dimensionamento pelo projetista. ","")))</f>
        <v/>
      </c>
    </row>
    <row r="33">
      <c r="A33" s="10" t="n"/>
      <c r="B33" s="7" t="n"/>
      <c r="C33" s="11" t="n"/>
      <c r="D33" s="11" t="n"/>
      <c r="E33" s="10" t="n"/>
      <c r="F33" s="10" t="n"/>
      <c r="G33" s="10" t="n"/>
      <c r="H33" s="10">
        <f>IF(OR(C33="",E33=""),"",IF(AND(C33&lt;=Parametros!$B$4,E33&lt;&gt;"alta"),"RASA",IF(OR(C33&gt;=Parametros!$B$5,E33="alta"),"PROFUNDA","ZONA CINZENTA")))</f>
        <v/>
      </c>
      <c r="I33" s="7">
        <f>IF(H33="","",IF(H33="RASA","Sapata (isolada/corrida/associada) ou radier",IF(H33="PROFUNDA",IF(F33="Sim","Estaca helice continua/escavada (sem trepidacao)","Estaca (pre-moldada/helice) ou tubulao*")&amp;IF(G33="Sim","; acesso restrito: raiz/Strauss",""),"Levar ao projetista (decisao final)")))</f>
        <v/>
      </c>
      <c r="J33" s="7">
        <f>IF(H33="","",TRIM(IF(D33&lt;&gt;"",IF(D33&lt;Parametros!$B$6,"NA alto: cautela tubulao a ceu aberto. ",""),"")&amp;IF(H33="PROFUNDA",IF(F33="Sim","Vizinhanca sensivel: evitar cravacao. ",""),"")&amp;IF(H33="ZONA CINZENTA","Decisao do projetista; desempate pelo custo da falha. ","")&amp;IF(E33="alta","Carga alta: dimensionamento pelo projetista. ","")))</f>
        <v/>
      </c>
    </row>
    <row r="34">
      <c r="A34" s="12" t="n"/>
      <c r="B34" s="13" t="n"/>
      <c r="C34" s="14" t="n"/>
      <c r="D34" s="14" t="n"/>
      <c r="E34" s="12" t="n"/>
      <c r="F34" s="12" t="n"/>
      <c r="G34" s="12" t="n"/>
      <c r="H34" s="12">
        <f>IF(OR(C34="",E34=""),"",IF(AND(C34&lt;=Parametros!$B$4,E34&lt;&gt;"alta"),"RASA",IF(OR(C34&gt;=Parametros!$B$5,E34="alta"),"PROFUNDA","ZONA CINZENTA")))</f>
        <v/>
      </c>
      <c r="I34" s="13">
        <f>IF(H34="","",IF(H34="RASA","Sapata (isolada/corrida/associada) ou radier",IF(H34="PROFUNDA",IF(F34="Sim","Estaca helice continua/escavada (sem trepidacao)","Estaca (pre-moldada/helice) ou tubulao*")&amp;IF(G34="Sim","; acesso restrito: raiz/Strauss",""),"Levar ao projetista (decisao final)")))</f>
        <v/>
      </c>
      <c r="J34" s="13">
        <f>IF(H34="","",TRIM(IF(D34&lt;&gt;"",IF(D34&lt;Parametros!$B$6,"NA alto: cautela tubulao a ceu aberto. ",""),"")&amp;IF(H34="PROFUNDA",IF(F34="Sim","Vizinhanca sensivel: evitar cravacao. ",""),"")&amp;IF(H34="ZONA CINZENTA","Decisao do projetista; desempate pelo custo da falha. ","")&amp;IF(E34="alta","Carga alta: dimensionamento pelo projetista. ","")))</f>
        <v/>
      </c>
    </row>
    <row r="35">
      <c r="A35" s="10" t="n"/>
      <c r="B35" s="7" t="n"/>
      <c r="C35" s="11" t="n"/>
      <c r="D35" s="11" t="n"/>
      <c r="E35" s="10" t="n"/>
      <c r="F35" s="10" t="n"/>
      <c r="G35" s="10" t="n"/>
      <c r="H35" s="10">
        <f>IF(OR(C35="",E35=""),"",IF(AND(C35&lt;=Parametros!$B$4,E35&lt;&gt;"alta"),"RASA",IF(OR(C35&gt;=Parametros!$B$5,E35="alta"),"PROFUNDA","ZONA CINZENTA")))</f>
        <v/>
      </c>
      <c r="I35" s="7">
        <f>IF(H35="","",IF(H35="RASA","Sapata (isolada/corrida/associada) ou radier",IF(H35="PROFUNDA",IF(F35="Sim","Estaca helice continua/escavada (sem trepidacao)","Estaca (pre-moldada/helice) ou tubulao*")&amp;IF(G35="Sim","; acesso restrito: raiz/Strauss",""),"Levar ao projetista (decisao final)")))</f>
        <v/>
      </c>
      <c r="J35" s="7">
        <f>IF(H35="","",TRIM(IF(D35&lt;&gt;"",IF(D35&lt;Parametros!$B$6,"NA alto: cautela tubulao a ceu aberto. ",""),"")&amp;IF(H35="PROFUNDA",IF(F35="Sim","Vizinhanca sensivel: evitar cravacao. ",""),"")&amp;IF(H35="ZONA CINZENTA","Decisao do projetista; desempate pelo custo da falha. ","")&amp;IF(E35="alta","Carga alta: dimensionamento pelo projetista. ","")))</f>
        <v/>
      </c>
    </row>
    <row r="36">
      <c r="A36" s="12" t="n"/>
      <c r="B36" s="13" t="n"/>
      <c r="C36" s="14" t="n"/>
      <c r="D36" s="14" t="n"/>
      <c r="E36" s="12" t="n"/>
      <c r="F36" s="12" t="n"/>
      <c r="G36" s="12" t="n"/>
      <c r="H36" s="12">
        <f>IF(OR(C36="",E36=""),"",IF(AND(C36&lt;=Parametros!$B$4,E36&lt;&gt;"alta"),"RASA",IF(OR(C36&gt;=Parametros!$B$5,E36="alta"),"PROFUNDA","ZONA CINZENTA")))</f>
        <v/>
      </c>
      <c r="I36" s="13">
        <f>IF(H36="","",IF(H36="RASA","Sapata (isolada/corrida/associada) ou radier",IF(H36="PROFUNDA",IF(F36="Sim","Estaca helice continua/escavada (sem trepidacao)","Estaca (pre-moldada/helice) ou tubulao*")&amp;IF(G36="Sim","; acesso restrito: raiz/Strauss",""),"Levar ao projetista (decisao final)")))</f>
        <v/>
      </c>
      <c r="J36" s="13">
        <f>IF(H36="","",TRIM(IF(D36&lt;&gt;"",IF(D36&lt;Parametros!$B$6,"NA alto: cautela tubulao a ceu aberto. ",""),"")&amp;IF(H36="PROFUNDA",IF(F36="Sim","Vizinhanca sensivel: evitar cravacao. ",""),"")&amp;IF(H36="ZONA CINZENTA","Decisao do projetista; desempate pelo custo da falha. ","")&amp;IF(E36="alta","Carga alta: dimensionamento pelo projetista. ","")))</f>
        <v/>
      </c>
    </row>
    <row r="37">
      <c r="A37" s="10" t="n"/>
      <c r="B37" s="7" t="n"/>
      <c r="C37" s="11" t="n"/>
      <c r="D37" s="11" t="n"/>
      <c r="E37" s="10" t="n"/>
      <c r="F37" s="10" t="n"/>
      <c r="G37" s="10" t="n"/>
      <c r="H37" s="10">
        <f>IF(OR(C37="",E37=""),"",IF(AND(C37&lt;=Parametros!$B$4,E37&lt;&gt;"alta"),"RASA",IF(OR(C37&gt;=Parametros!$B$5,E37="alta"),"PROFUNDA","ZONA CINZENTA")))</f>
        <v/>
      </c>
      <c r="I37" s="7">
        <f>IF(H37="","",IF(H37="RASA","Sapata (isolada/corrida/associada) ou radier",IF(H37="PROFUNDA",IF(F37="Sim","Estaca helice continua/escavada (sem trepidacao)","Estaca (pre-moldada/helice) ou tubulao*")&amp;IF(G37="Sim","; acesso restrito: raiz/Strauss",""),"Levar ao projetista (decisao final)")))</f>
        <v/>
      </c>
      <c r="J37" s="7">
        <f>IF(H37="","",TRIM(IF(D37&lt;&gt;"",IF(D37&lt;Parametros!$B$6,"NA alto: cautela tubulao a ceu aberto. ",""),"")&amp;IF(H37="PROFUNDA",IF(F37="Sim","Vizinhanca sensivel: evitar cravacao. ",""),"")&amp;IF(H37="ZONA CINZENTA","Decisao do projetista; desempate pelo custo da falha. ","")&amp;IF(E37="alta","Carga alta: dimensionamento pelo projetista. ","")))</f>
        <v/>
      </c>
    </row>
    <row r="38">
      <c r="A38" s="12" t="n"/>
      <c r="B38" s="13" t="n"/>
      <c r="C38" s="14" t="n"/>
      <c r="D38" s="14" t="n"/>
      <c r="E38" s="12" t="n"/>
      <c r="F38" s="12" t="n"/>
      <c r="G38" s="12" t="n"/>
      <c r="H38" s="12">
        <f>IF(OR(C38="",E38=""),"",IF(AND(C38&lt;=Parametros!$B$4,E38&lt;&gt;"alta"),"RASA",IF(OR(C38&gt;=Parametros!$B$5,E38="alta"),"PROFUNDA","ZONA CINZENTA")))</f>
        <v/>
      </c>
      <c r="I38" s="13">
        <f>IF(H38="","",IF(H38="RASA","Sapata (isolada/corrida/associada) ou radier",IF(H38="PROFUNDA",IF(F38="Sim","Estaca helice continua/escavada (sem trepidacao)","Estaca (pre-moldada/helice) ou tubulao*")&amp;IF(G38="Sim","; acesso restrito: raiz/Strauss",""),"Levar ao projetista (decisao final)")))</f>
        <v/>
      </c>
      <c r="J38" s="13">
        <f>IF(H38="","",TRIM(IF(D38&lt;&gt;"",IF(D38&lt;Parametros!$B$6,"NA alto: cautela tubulao a ceu aberto. ",""),"")&amp;IF(H38="PROFUNDA",IF(F38="Sim","Vizinhanca sensivel: evitar cravacao. ",""),"")&amp;IF(H38="ZONA CINZENTA","Decisao do projetista; desempate pelo custo da falha. ","")&amp;IF(E38="alta","Carga alta: dimensionamento pelo projetista. ","")))</f>
        <v/>
      </c>
    </row>
    <row r="39">
      <c r="A39" s="10" t="n"/>
      <c r="B39" s="7" t="n"/>
      <c r="C39" s="11" t="n"/>
      <c r="D39" s="11" t="n"/>
      <c r="E39" s="10" t="n"/>
      <c r="F39" s="10" t="n"/>
      <c r="G39" s="10" t="n"/>
      <c r="H39" s="10">
        <f>IF(OR(C39="",E39=""),"",IF(AND(C39&lt;=Parametros!$B$4,E39&lt;&gt;"alta"),"RASA",IF(OR(C39&gt;=Parametros!$B$5,E39="alta"),"PROFUNDA","ZONA CINZENTA")))</f>
        <v/>
      </c>
      <c r="I39" s="7">
        <f>IF(H39="","",IF(H39="RASA","Sapata (isolada/corrida/associada) ou radier",IF(H39="PROFUNDA",IF(F39="Sim","Estaca helice continua/escavada (sem trepidacao)","Estaca (pre-moldada/helice) ou tubulao*")&amp;IF(G39="Sim","; acesso restrito: raiz/Strauss",""),"Levar ao projetista (decisao final)")))</f>
        <v/>
      </c>
      <c r="J39" s="7">
        <f>IF(H39="","",TRIM(IF(D39&lt;&gt;"",IF(D39&lt;Parametros!$B$6,"NA alto: cautela tubulao a ceu aberto. ",""),"")&amp;IF(H39="PROFUNDA",IF(F39="Sim","Vizinhanca sensivel: evitar cravacao. ",""),"")&amp;IF(H39="ZONA CINZENTA","Decisao do projetista; desempate pelo custo da falha. ","")&amp;IF(E39="alta","Carga alta: dimensionamento pelo projetista. ","")))</f>
        <v/>
      </c>
    </row>
    <row r="40">
      <c r="A40" s="12" t="n"/>
      <c r="B40" s="13" t="n"/>
      <c r="C40" s="14" t="n"/>
      <c r="D40" s="14" t="n"/>
      <c r="E40" s="12" t="n"/>
      <c r="F40" s="12" t="n"/>
      <c r="G40" s="12" t="n"/>
      <c r="H40" s="12">
        <f>IF(OR(C40="",E40=""),"",IF(AND(C40&lt;=Parametros!$B$4,E40&lt;&gt;"alta"),"RASA",IF(OR(C40&gt;=Parametros!$B$5,E40="alta"),"PROFUNDA","ZONA CINZENTA")))</f>
        <v/>
      </c>
      <c r="I40" s="13">
        <f>IF(H40="","",IF(H40="RASA","Sapata (isolada/corrida/associada) ou radier",IF(H40="PROFUNDA",IF(F40="Sim","Estaca helice continua/escavada (sem trepidacao)","Estaca (pre-moldada/helice) ou tubulao*")&amp;IF(G40="Sim","; acesso restrito: raiz/Strauss",""),"Levar ao projetista (decisao final)")))</f>
        <v/>
      </c>
      <c r="J40" s="13">
        <f>IF(H40="","",TRIM(IF(D40&lt;&gt;"",IF(D40&lt;Parametros!$B$6,"NA alto: cautela tubulao a ceu aberto. ",""),"")&amp;IF(H40="PROFUNDA",IF(F40="Sim","Vizinhanca sensivel: evitar cravacao. ",""),"")&amp;IF(H40="ZONA CINZENTA","Decisao do projetista; desempate pelo custo da falha. ","")&amp;IF(E40="alta","Carga alta: dimensionamento pelo projetista. ","")))</f>
        <v/>
      </c>
    </row>
    <row r="41">
      <c r="A41" s="10" t="n"/>
      <c r="B41" s="7" t="n"/>
      <c r="C41" s="11" t="n"/>
      <c r="D41" s="11" t="n"/>
      <c r="E41" s="10" t="n"/>
      <c r="F41" s="10" t="n"/>
      <c r="G41" s="10" t="n"/>
      <c r="H41" s="10">
        <f>IF(OR(C41="",E41=""),"",IF(AND(C41&lt;=Parametros!$B$4,E41&lt;&gt;"alta"),"RASA",IF(OR(C41&gt;=Parametros!$B$5,E41="alta"),"PROFUNDA","ZONA CINZENTA")))</f>
        <v/>
      </c>
      <c r="I41" s="7">
        <f>IF(H41="","",IF(H41="RASA","Sapata (isolada/corrida/associada) ou radier",IF(H41="PROFUNDA",IF(F41="Sim","Estaca helice continua/escavada (sem trepidacao)","Estaca (pre-moldada/helice) ou tubulao*")&amp;IF(G41="Sim","; acesso restrito: raiz/Strauss",""),"Levar ao projetista (decisao final)")))</f>
        <v/>
      </c>
      <c r="J41" s="7">
        <f>IF(H41="","",TRIM(IF(D41&lt;&gt;"",IF(D41&lt;Parametros!$B$6,"NA alto: cautela tubulao a ceu aberto. ",""),"")&amp;IF(H41="PROFUNDA",IF(F41="Sim","Vizinhanca sensivel: evitar cravacao. ",""),"")&amp;IF(H41="ZONA CINZENTA","Decisao do projetista; desempate pelo custo da falha. ","")&amp;IF(E41="alta","Carga alta: dimensionamento pelo projetista. ","")))</f>
        <v/>
      </c>
    </row>
    <row r="42">
      <c r="A42" s="12" t="n"/>
      <c r="B42" s="13" t="n"/>
      <c r="C42" s="14" t="n"/>
      <c r="D42" s="14" t="n"/>
      <c r="E42" s="12" t="n"/>
      <c r="F42" s="12" t="n"/>
      <c r="G42" s="12" t="n"/>
      <c r="H42" s="12">
        <f>IF(OR(C42="",E42=""),"",IF(AND(C42&lt;=Parametros!$B$4,E42&lt;&gt;"alta"),"RASA",IF(OR(C42&gt;=Parametros!$B$5,E42="alta"),"PROFUNDA","ZONA CINZENTA")))</f>
        <v/>
      </c>
      <c r="I42" s="13">
        <f>IF(H42="","",IF(H42="RASA","Sapata (isolada/corrida/associada) ou radier",IF(H42="PROFUNDA",IF(F42="Sim","Estaca helice continua/escavada (sem trepidacao)","Estaca (pre-moldada/helice) ou tubulao*")&amp;IF(G42="Sim","; acesso restrito: raiz/Strauss",""),"Levar ao projetista (decisao final)")))</f>
        <v/>
      </c>
      <c r="J42" s="13">
        <f>IF(H42="","",TRIM(IF(D42&lt;&gt;"",IF(D42&lt;Parametros!$B$6,"NA alto: cautela tubulao a ceu aberto. ",""),"")&amp;IF(H42="PROFUNDA",IF(F42="Sim","Vizinhanca sensivel: evitar cravacao. ",""),"")&amp;IF(H42="ZONA CINZENTA","Decisao do projetista; desempate pelo custo da falha. ","")&amp;IF(E42="alta","Carga alta: dimensionamento pelo projetista. ","")))</f>
        <v/>
      </c>
    </row>
    <row r="43">
      <c r="A43" s="10" t="n"/>
      <c r="B43" s="7" t="n"/>
      <c r="C43" s="11" t="n"/>
      <c r="D43" s="11" t="n"/>
      <c r="E43" s="10" t="n"/>
      <c r="F43" s="10" t="n"/>
      <c r="G43" s="10" t="n"/>
      <c r="H43" s="10">
        <f>IF(OR(C43="",E43=""),"",IF(AND(C43&lt;=Parametros!$B$4,E43&lt;&gt;"alta"),"RASA",IF(OR(C43&gt;=Parametros!$B$5,E43="alta"),"PROFUNDA","ZONA CINZENTA")))</f>
        <v/>
      </c>
      <c r="I43" s="7">
        <f>IF(H43="","",IF(H43="RASA","Sapata (isolada/corrida/associada) ou radier",IF(H43="PROFUNDA",IF(F43="Sim","Estaca helice continua/escavada (sem trepidacao)","Estaca (pre-moldada/helice) ou tubulao*")&amp;IF(G43="Sim","; acesso restrito: raiz/Strauss",""),"Levar ao projetista (decisao final)")))</f>
        <v/>
      </c>
      <c r="J43" s="7">
        <f>IF(H43="","",TRIM(IF(D43&lt;&gt;"",IF(D43&lt;Parametros!$B$6,"NA alto: cautela tubulao a ceu aberto. ",""),"")&amp;IF(H43="PROFUNDA",IF(F43="Sim","Vizinhanca sensivel: evitar cravacao. ",""),"")&amp;IF(H43="ZONA CINZENTA","Decisao do projetista; desempate pelo custo da falha. ","")&amp;IF(E43="alta","Carga alta: dimensionamento pelo projetista. ","")))</f>
        <v/>
      </c>
    </row>
    <row r="44">
      <c r="A44" s="12" t="n"/>
      <c r="B44" s="13" t="n"/>
      <c r="C44" s="14" t="n"/>
      <c r="D44" s="14" t="n"/>
      <c r="E44" s="12" t="n"/>
      <c r="F44" s="12" t="n"/>
      <c r="G44" s="12" t="n"/>
      <c r="H44" s="12">
        <f>IF(OR(C44="",E44=""),"",IF(AND(C44&lt;=Parametros!$B$4,E44&lt;&gt;"alta"),"RASA",IF(OR(C44&gt;=Parametros!$B$5,E44="alta"),"PROFUNDA","ZONA CINZENTA")))</f>
        <v/>
      </c>
      <c r="I44" s="13">
        <f>IF(H44="","",IF(H44="RASA","Sapata (isolada/corrida/associada) ou radier",IF(H44="PROFUNDA",IF(F44="Sim","Estaca helice continua/escavada (sem trepidacao)","Estaca (pre-moldada/helice) ou tubulao*")&amp;IF(G44="Sim","; acesso restrito: raiz/Strauss",""),"Levar ao projetista (decisao final)")))</f>
        <v/>
      </c>
      <c r="J44" s="13">
        <f>IF(H44="","",TRIM(IF(D44&lt;&gt;"",IF(D44&lt;Parametros!$B$6,"NA alto: cautela tubulao a ceu aberto. ",""),"")&amp;IF(H44="PROFUNDA",IF(F44="Sim","Vizinhanca sensivel: evitar cravacao. ",""),"")&amp;IF(H44="ZONA CINZENTA","Decisao do projetista; desempate pelo custo da falha. ","")&amp;IF(E44="alta","Carga alta: dimensionamento pelo projetista. ","")))</f>
        <v/>
      </c>
    </row>
    <row r="45">
      <c r="A45" s="10" t="n"/>
      <c r="B45" s="7" t="n"/>
      <c r="C45" s="11" t="n"/>
      <c r="D45" s="11" t="n"/>
      <c r="E45" s="10" t="n"/>
      <c r="F45" s="10" t="n"/>
      <c r="G45" s="10" t="n"/>
      <c r="H45" s="10">
        <f>IF(OR(C45="",E45=""),"",IF(AND(C45&lt;=Parametros!$B$4,E45&lt;&gt;"alta"),"RASA",IF(OR(C45&gt;=Parametros!$B$5,E45="alta"),"PROFUNDA","ZONA CINZENTA")))</f>
        <v/>
      </c>
      <c r="I45" s="7">
        <f>IF(H45="","",IF(H45="RASA","Sapata (isolada/corrida/associada) ou radier",IF(H45="PROFUNDA",IF(F45="Sim","Estaca helice continua/escavada (sem trepidacao)","Estaca (pre-moldada/helice) ou tubulao*")&amp;IF(G45="Sim","; acesso restrito: raiz/Strauss",""),"Levar ao projetista (decisao final)")))</f>
        <v/>
      </c>
      <c r="J45" s="7">
        <f>IF(H45="","",TRIM(IF(D45&lt;&gt;"",IF(D45&lt;Parametros!$B$6,"NA alto: cautela tubulao a ceu aberto. ",""),"")&amp;IF(H45="PROFUNDA",IF(F45="Sim","Vizinhanca sensivel: evitar cravacao. ",""),"")&amp;IF(H45="ZONA CINZENTA","Decisao do projetista; desempate pelo custo da falha. ","")&amp;IF(E45="alta","Carga alta: dimensionamento pelo projetista. ","")))</f>
        <v/>
      </c>
    </row>
    <row r="46">
      <c r="A46" s="12" t="n"/>
      <c r="B46" s="13" t="n"/>
      <c r="C46" s="14" t="n"/>
      <c r="D46" s="14" t="n"/>
      <c r="E46" s="12" t="n"/>
      <c r="F46" s="12" t="n"/>
      <c r="G46" s="12" t="n"/>
      <c r="H46" s="12">
        <f>IF(OR(C46="",E46=""),"",IF(AND(C46&lt;=Parametros!$B$4,E46&lt;&gt;"alta"),"RASA",IF(OR(C46&gt;=Parametros!$B$5,E46="alta"),"PROFUNDA","ZONA CINZENTA")))</f>
        <v/>
      </c>
      <c r="I46" s="13">
        <f>IF(H46="","",IF(H46="RASA","Sapata (isolada/corrida/associada) ou radier",IF(H46="PROFUNDA",IF(F46="Sim","Estaca helice continua/escavada (sem trepidacao)","Estaca (pre-moldada/helice) ou tubulao*")&amp;IF(G46="Sim","; acesso restrito: raiz/Strauss",""),"Levar ao projetista (decisao final)")))</f>
        <v/>
      </c>
      <c r="J46" s="13">
        <f>IF(H46="","",TRIM(IF(D46&lt;&gt;"",IF(D46&lt;Parametros!$B$6,"NA alto: cautela tubulao a ceu aberto. ",""),"")&amp;IF(H46="PROFUNDA",IF(F46="Sim","Vizinhanca sensivel: evitar cravacao. ",""),"")&amp;IF(H46="ZONA CINZENTA","Decisao do projetista; desempate pelo custo da falha. ","")&amp;IF(E46="alta","Carga alta: dimensionamento pelo projetista. ","")))</f>
        <v/>
      </c>
    </row>
    <row r="47">
      <c r="A47" s="10" t="n"/>
      <c r="B47" s="7" t="n"/>
      <c r="C47" s="11" t="n"/>
      <c r="D47" s="11" t="n"/>
      <c r="E47" s="10" t="n"/>
      <c r="F47" s="10" t="n"/>
      <c r="G47" s="10" t="n"/>
      <c r="H47" s="10">
        <f>IF(OR(C47="",E47=""),"",IF(AND(C47&lt;=Parametros!$B$4,E47&lt;&gt;"alta"),"RASA",IF(OR(C47&gt;=Parametros!$B$5,E47="alta"),"PROFUNDA","ZONA CINZENTA")))</f>
        <v/>
      </c>
      <c r="I47" s="7">
        <f>IF(H47="","",IF(H47="RASA","Sapata (isolada/corrida/associada) ou radier",IF(H47="PROFUNDA",IF(F47="Sim","Estaca helice continua/escavada (sem trepidacao)","Estaca (pre-moldada/helice) ou tubulao*")&amp;IF(G47="Sim","; acesso restrito: raiz/Strauss",""),"Levar ao projetista (decisao final)")))</f>
        <v/>
      </c>
      <c r="J47" s="7">
        <f>IF(H47="","",TRIM(IF(D47&lt;&gt;"",IF(D47&lt;Parametros!$B$6,"NA alto: cautela tubulao a ceu aberto. ",""),"")&amp;IF(H47="PROFUNDA",IF(F47="Sim","Vizinhanca sensivel: evitar cravacao. ",""),"")&amp;IF(H47="ZONA CINZENTA","Decisao do projetista; desempate pelo custo da falha. ","")&amp;IF(E47="alta","Carga alta: dimensionamento pelo projetista. ","")))</f>
        <v/>
      </c>
    </row>
    <row r="48">
      <c r="A48" s="12" t="n"/>
      <c r="B48" s="13" t="n"/>
      <c r="C48" s="14" t="n"/>
      <c r="D48" s="14" t="n"/>
      <c r="E48" s="12" t="n"/>
      <c r="F48" s="12" t="n"/>
      <c r="G48" s="12" t="n"/>
      <c r="H48" s="12">
        <f>IF(OR(C48="",E48=""),"",IF(AND(C48&lt;=Parametros!$B$4,E48&lt;&gt;"alta"),"RASA",IF(OR(C48&gt;=Parametros!$B$5,E48="alta"),"PROFUNDA","ZONA CINZENTA")))</f>
        <v/>
      </c>
      <c r="I48" s="13">
        <f>IF(H48="","",IF(H48="RASA","Sapata (isolada/corrida/associada) ou radier",IF(H48="PROFUNDA",IF(F48="Sim","Estaca helice continua/escavada (sem trepidacao)","Estaca (pre-moldada/helice) ou tubulao*")&amp;IF(G48="Sim","; acesso restrito: raiz/Strauss",""),"Levar ao projetista (decisao final)")))</f>
        <v/>
      </c>
      <c r="J48" s="13">
        <f>IF(H48="","",TRIM(IF(D48&lt;&gt;"",IF(D48&lt;Parametros!$B$6,"NA alto: cautela tubulao a ceu aberto. ",""),"")&amp;IF(H48="PROFUNDA",IF(F48="Sim","Vizinhanca sensivel: evitar cravacao. ",""),"")&amp;IF(H48="ZONA CINZENTA","Decisao do projetista; desempate pelo custo da falha. ","")&amp;IF(E48="alta","Carga alta: dimensionamento pelo projetista. ","")))</f>
        <v/>
      </c>
    </row>
    <row r="49">
      <c r="A49" s="10" t="n"/>
      <c r="B49" s="7" t="n"/>
      <c r="C49" s="11" t="n"/>
      <c r="D49" s="11" t="n"/>
      <c r="E49" s="10" t="n"/>
      <c r="F49" s="10" t="n"/>
      <c r="G49" s="10" t="n"/>
      <c r="H49" s="10">
        <f>IF(OR(C49="",E49=""),"",IF(AND(C49&lt;=Parametros!$B$4,E49&lt;&gt;"alta"),"RASA",IF(OR(C49&gt;=Parametros!$B$5,E49="alta"),"PROFUNDA","ZONA CINZENTA")))</f>
        <v/>
      </c>
      <c r="I49" s="7">
        <f>IF(H49="","",IF(H49="RASA","Sapata (isolada/corrida/associada) ou radier",IF(H49="PROFUNDA",IF(F49="Sim","Estaca helice continua/escavada (sem trepidacao)","Estaca (pre-moldada/helice) ou tubulao*")&amp;IF(G49="Sim","; acesso restrito: raiz/Strauss",""),"Levar ao projetista (decisao final)")))</f>
        <v/>
      </c>
      <c r="J49" s="7">
        <f>IF(H49="","",TRIM(IF(D49&lt;&gt;"",IF(D49&lt;Parametros!$B$6,"NA alto: cautela tubulao a ceu aberto. ",""),"")&amp;IF(H49="PROFUNDA",IF(F49="Sim","Vizinhanca sensivel: evitar cravacao. ",""),"")&amp;IF(H49="ZONA CINZENTA","Decisao do projetista; desempate pelo custo da falha. ","")&amp;IF(E49="alta","Carga alta: dimensionamento pelo projetista. ","")))</f>
        <v/>
      </c>
    </row>
    <row r="50">
      <c r="A50" s="12" t="n"/>
      <c r="B50" s="13" t="n"/>
      <c r="C50" s="14" t="n"/>
      <c r="D50" s="14" t="n"/>
      <c r="E50" s="12" t="n"/>
      <c r="F50" s="12" t="n"/>
      <c r="G50" s="12" t="n"/>
      <c r="H50" s="12">
        <f>IF(OR(C50="",E50=""),"",IF(AND(C50&lt;=Parametros!$B$4,E50&lt;&gt;"alta"),"RASA",IF(OR(C50&gt;=Parametros!$B$5,E50="alta"),"PROFUNDA","ZONA CINZENTA")))</f>
        <v/>
      </c>
      <c r="I50" s="13">
        <f>IF(H50="","",IF(H50="RASA","Sapata (isolada/corrida/associada) ou radier",IF(H50="PROFUNDA",IF(F50="Sim","Estaca helice continua/escavada (sem trepidacao)","Estaca (pre-moldada/helice) ou tubulao*")&amp;IF(G50="Sim","; acesso restrito: raiz/Strauss",""),"Levar ao projetista (decisao final)")))</f>
        <v/>
      </c>
      <c r="J50" s="13">
        <f>IF(H50="","",TRIM(IF(D50&lt;&gt;"",IF(D50&lt;Parametros!$B$6,"NA alto: cautela tubulao a ceu aberto. ",""),"")&amp;IF(H50="PROFUNDA",IF(F50="Sim","Vizinhanca sensivel: evitar cravacao. ",""),"")&amp;IF(H50="ZONA CINZENTA","Decisao do projetista; desempate pelo custo da falha. ","")&amp;IF(E50="alta","Carga alta: dimensionamento pelo projetista. ","")))</f>
        <v/>
      </c>
    </row>
    <row r="51">
      <c r="A51" s="10" t="n"/>
      <c r="B51" s="7" t="n"/>
      <c r="C51" s="11" t="n"/>
      <c r="D51" s="11" t="n"/>
      <c r="E51" s="10" t="n"/>
      <c r="F51" s="10" t="n"/>
      <c r="G51" s="10" t="n"/>
      <c r="H51" s="10">
        <f>IF(OR(C51="",E51=""),"",IF(AND(C51&lt;=Parametros!$B$4,E51&lt;&gt;"alta"),"RASA",IF(OR(C51&gt;=Parametros!$B$5,E51="alta"),"PROFUNDA","ZONA CINZENTA")))</f>
        <v/>
      </c>
      <c r="I51" s="7">
        <f>IF(H51="","",IF(H51="RASA","Sapata (isolada/corrida/associada) ou radier",IF(H51="PROFUNDA",IF(F51="Sim","Estaca helice continua/escavada (sem trepidacao)","Estaca (pre-moldada/helice) ou tubulao*")&amp;IF(G51="Sim","; acesso restrito: raiz/Strauss",""),"Levar ao projetista (decisao final)")))</f>
        <v/>
      </c>
      <c r="J51" s="7">
        <f>IF(H51="","",TRIM(IF(D51&lt;&gt;"",IF(D51&lt;Parametros!$B$6,"NA alto: cautela tubulao a ceu aberto. ",""),"")&amp;IF(H51="PROFUNDA",IF(F51="Sim","Vizinhanca sensivel: evitar cravacao. ",""),"")&amp;IF(H51="ZONA CINZENTA","Decisao do projetista; desempate pelo custo da falha. ","")&amp;IF(E51="alta","Carga alta: dimensionamento pelo projetista. ","")))</f>
        <v/>
      </c>
    </row>
    <row r="52">
      <c r="A52" s="12" t="n"/>
      <c r="B52" s="13" t="n"/>
      <c r="C52" s="14" t="n"/>
      <c r="D52" s="14" t="n"/>
      <c r="E52" s="12" t="n"/>
      <c r="F52" s="12" t="n"/>
      <c r="G52" s="12" t="n"/>
      <c r="H52" s="12">
        <f>IF(OR(C52="",E52=""),"",IF(AND(C52&lt;=Parametros!$B$4,E52&lt;&gt;"alta"),"RASA",IF(OR(C52&gt;=Parametros!$B$5,E52="alta"),"PROFUNDA","ZONA CINZENTA")))</f>
        <v/>
      </c>
      <c r="I52" s="13">
        <f>IF(H52="","",IF(H52="RASA","Sapata (isolada/corrida/associada) ou radier",IF(H52="PROFUNDA",IF(F52="Sim","Estaca helice continua/escavada (sem trepidacao)","Estaca (pre-moldada/helice) ou tubulao*")&amp;IF(G52="Sim","; acesso restrito: raiz/Strauss",""),"Levar ao projetista (decisao final)")))</f>
        <v/>
      </c>
      <c r="J52" s="13">
        <f>IF(H52="","",TRIM(IF(D52&lt;&gt;"",IF(D52&lt;Parametros!$B$6,"NA alto: cautela tubulao a ceu aberto. ",""),"")&amp;IF(H52="PROFUNDA",IF(F52="Sim","Vizinhanca sensivel: evitar cravacao. ",""),"")&amp;IF(H52="ZONA CINZENTA","Decisao do projetista; desempate pelo custo da falha. ","")&amp;IF(E52="alta","Carga alta: dimensionamento pelo projetista. ","")))</f>
        <v/>
      </c>
    </row>
    <row r="53">
      <c r="A53" s="10" t="n"/>
      <c r="B53" s="7" t="n"/>
      <c r="C53" s="11" t="n"/>
      <c r="D53" s="11" t="n"/>
      <c r="E53" s="10" t="n"/>
      <c r="F53" s="10" t="n"/>
      <c r="G53" s="10" t="n"/>
      <c r="H53" s="10">
        <f>IF(OR(C53="",E53=""),"",IF(AND(C53&lt;=Parametros!$B$4,E53&lt;&gt;"alta"),"RASA",IF(OR(C53&gt;=Parametros!$B$5,E53="alta"),"PROFUNDA","ZONA CINZENTA")))</f>
        <v/>
      </c>
      <c r="I53" s="7">
        <f>IF(H53="","",IF(H53="RASA","Sapata (isolada/corrida/associada) ou radier",IF(H53="PROFUNDA",IF(F53="Sim","Estaca helice continua/escavada (sem trepidacao)","Estaca (pre-moldada/helice) ou tubulao*")&amp;IF(G53="Sim","; acesso restrito: raiz/Strauss",""),"Levar ao projetista (decisao final)")))</f>
        <v/>
      </c>
      <c r="J53" s="7">
        <f>IF(H53="","",TRIM(IF(D53&lt;&gt;"",IF(D53&lt;Parametros!$B$6,"NA alto: cautela tubulao a ceu aberto. ",""),"")&amp;IF(H53="PROFUNDA",IF(F53="Sim","Vizinhanca sensivel: evitar cravacao. ",""),"")&amp;IF(H53="ZONA CINZENTA","Decisao do projetista; desempate pelo custo da falha. ","")&amp;IF(E53="alta","Carga alta: dimensionamento pelo projetista. ","")))</f>
        <v/>
      </c>
    </row>
    <row r="54">
      <c r="A54" s="12" t="n"/>
      <c r="B54" s="13" t="n"/>
      <c r="C54" s="14" t="n"/>
      <c r="D54" s="14" t="n"/>
      <c r="E54" s="12" t="n"/>
      <c r="F54" s="12" t="n"/>
      <c r="G54" s="12" t="n"/>
      <c r="H54" s="12">
        <f>IF(OR(C54="",E54=""),"",IF(AND(C54&lt;=Parametros!$B$4,E54&lt;&gt;"alta"),"RASA",IF(OR(C54&gt;=Parametros!$B$5,E54="alta"),"PROFUNDA","ZONA CINZENTA")))</f>
        <v/>
      </c>
      <c r="I54" s="13">
        <f>IF(H54="","",IF(H54="RASA","Sapata (isolada/corrida/associada) ou radier",IF(H54="PROFUNDA",IF(F54="Sim","Estaca helice continua/escavada (sem trepidacao)","Estaca (pre-moldada/helice) ou tubulao*")&amp;IF(G54="Sim","; acesso restrito: raiz/Strauss",""),"Levar ao projetista (decisao final)")))</f>
        <v/>
      </c>
      <c r="J54" s="13">
        <f>IF(H54="","",TRIM(IF(D54&lt;&gt;"",IF(D54&lt;Parametros!$B$6,"NA alto: cautela tubulao a ceu aberto. ",""),"")&amp;IF(H54="PROFUNDA",IF(F54="Sim","Vizinhanca sensivel: evitar cravacao. ",""),"")&amp;IF(H54="ZONA CINZENTA","Decisao do projetista; desempate pelo custo da falha. ","")&amp;IF(E54="alta","Carga alta: dimensionamento pelo projetista. ","")))</f>
        <v/>
      </c>
    </row>
    <row r="55">
      <c r="A55" s="10" t="n"/>
      <c r="B55" s="7" t="n"/>
      <c r="C55" s="11" t="n"/>
      <c r="D55" s="11" t="n"/>
      <c r="E55" s="10" t="n"/>
      <c r="F55" s="10" t="n"/>
      <c r="G55" s="10" t="n"/>
      <c r="H55" s="10">
        <f>IF(OR(C55="",E55=""),"",IF(AND(C55&lt;=Parametros!$B$4,E55&lt;&gt;"alta"),"RASA",IF(OR(C55&gt;=Parametros!$B$5,E55="alta"),"PROFUNDA","ZONA CINZENTA")))</f>
        <v/>
      </c>
      <c r="I55" s="7">
        <f>IF(H55="","",IF(H55="RASA","Sapata (isolada/corrida/associada) ou radier",IF(H55="PROFUNDA",IF(F55="Sim","Estaca helice continua/escavada (sem trepidacao)","Estaca (pre-moldada/helice) ou tubulao*")&amp;IF(G55="Sim","; acesso restrito: raiz/Strauss",""),"Levar ao projetista (decisao final)")))</f>
        <v/>
      </c>
      <c r="J55" s="7">
        <f>IF(H55="","",TRIM(IF(D55&lt;&gt;"",IF(D55&lt;Parametros!$B$6,"NA alto: cautela tubulao a ceu aberto. ",""),"")&amp;IF(H55="PROFUNDA",IF(F55="Sim","Vizinhanca sensivel: evitar cravacao. ",""),"")&amp;IF(H55="ZONA CINZENTA","Decisao do projetista; desempate pelo custo da falha. ","")&amp;IF(E55="alta","Carga alta: dimensionamento pelo projetista. ","")))</f>
        <v/>
      </c>
    </row>
    <row r="56">
      <c r="A56" s="12" t="n"/>
      <c r="B56" s="13" t="n"/>
      <c r="C56" s="14" t="n"/>
      <c r="D56" s="14" t="n"/>
      <c r="E56" s="12" t="n"/>
      <c r="F56" s="12" t="n"/>
      <c r="G56" s="12" t="n"/>
      <c r="H56" s="12">
        <f>IF(OR(C56="",E56=""),"",IF(AND(C56&lt;=Parametros!$B$4,E56&lt;&gt;"alta"),"RASA",IF(OR(C56&gt;=Parametros!$B$5,E56="alta"),"PROFUNDA","ZONA CINZENTA")))</f>
        <v/>
      </c>
      <c r="I56" s="13">
        <f>IF(H56="","",IF(H56="RASA","Sapata (isolada/corrida/associada) ou radier",IF(H56="PROFUNDA",IF(F56="Sim","Estaca helice continua/escavada (sem trepidacao)","Estaca (pre-moldada/helice) ou tubulao*")&amp;IF(G56="Sim","; acesso restrito: raiz/Strauss",""),"Levar ao projetista (decisao final)")))</f>
        <v/>
      </c>
      <c r="J56" s="13">
        <f>IF(H56="","",TRIM(IF(D56&lt;&gt;"",IF(D56&lt;Parametros!$B$6,"NA alto: cautela tubulao a ceu aberto. ",""),"")&amp;IF(H56="PROFUNDA",IF(F56="Sim","Vizinhanca sensivel: evitar cravacao. ",""),"")&amp;IF(H56="ZONA CINZENTA","Decisao do projetista; desempate pelo custo da falha. ","")&amp;IF(E56="alta","Carga alta: dimensionamento pelo projetista. ","")))</f>
        <v/>
      </c>
    </row>
    <row r="57">
      <c r="A57" s="10" t="n"/>
      <c r="B57" s="7" t="n"/>
      <c r="C57" s="11" t="n"/>
      <c r="D57" s="11" t="n"/>
      <c r="E57" s="10" t="n"/>
      <c r="F57" s="10" t="n"/>
      <c r="G57" s="10" t="n"/>
      <c r="H57" s="10">
        <f>IF(OR(C57="",E57=""),"",IF(AND(C57&lt;=Parametros!$B$4,E57&lt;&gt;"alta"),"RASA",IF(OR(C57&gt;=Parametros!$B$5,E57="alta"),"PROFUNDA","ZONA CINZENTA")))</f>
        <v/>
      </c>
      <c r="I57" s="7">
        <f>IF(H57="","",IF(H57="RASA","Sapata (isolada/corrida/associada) ou radier",IF(H57="PROFUNDA",IF(F57="Sim","Estaca helice continua/escavada (sem trepidacao)","Estaca (pre-moldada/helice) ou tubulao*")&amp;IF(G57="Sim","; acesso restrito: raiz/Strauss",""),"Levar ao projetista (decisao final)")))</f>
        <v/>
      </c>
      <c r="J57" s="7">
        <f>IF(H57="","",TRIM(IF(D57&lt;&gt;"",IF(D57&lt;Parametros!$B$6,"NA alto: cautela tubulao a ceu aberto. ",""),"")&amp;IF(H57="PROFUNDA",IF(F57="Sim","Vizinhanca sensivel: evitar cravacao. ",""),"")&amp;IF(H57="ZONA CINZENTA","Decisao do projetista; desempate pelo custo da falha. ","")&amp;IF(E57="alta","Carga alta: dimensionamento pelo projetista. ","")))</f>
        <v/>
      </c>
    </row>
    <row r="58">
      <c r="A58" s="12" t="n"/>
      <c r="B58" s="13" t="n"/>
      <c r="C58" s="14" t="n"/>
      <c r="D58" s="14" t="n"/>
      <c r="E58" s="12" t="n"/>
      <c r="F58" s="12" t="n"/>
      <c r="G58" s="12" t="n"/>
      <c r="H58" s="12">
        <f>IF(OR(C58="",E58=""),"",IF(AND(C58&lt;=Parametros!$B$4,E58&lt;&gt;"alta"),"RASA",IF(OR(C58&gt;=Parametros!$B$5,E58="alta"),"PROFUNDA","ZONA CINZENTA")))</f>
        <v/>
      </c>
      <c r="I58" s="13">
        <f>IF(H58="","",IF(H58="RASA","Sapata (isolada/corrida/associada) ou radier",IF(H58="PROFUNDA",IF(F58="Sim","Estaca helice continua/escavada (sem trepidacao)","Estaca (pre-moldada/helice) ou tubulao*")&amp;IF(G58="Sim","; acesso restrito: raiz/Strauss",""),"Levar ao projetista (decisao final)")))</f>
        <v/>
      </c>
      <c r="J58" s="13">
        <f>IF(H58="","",TRIM(IF(D58&lt;&gt;"",IF(D58&lt;Parametros!$B$6,"NA alto: cautela tubulao a ceu aberto. ",""),"")&amp;IF(H58="PROFUNDA",IF(F58="Sim","Vizinhanca sensivel: evitar cravacao. ",""),"")&amp;IF(H58="ZONA CINZENTA","Decisao do projetista; desempate pelo custo da falha. ","")&amp;IF(E58="alta","Carga alta: dimensionamento pelo projetista. ","")))</f>
        <v/>
      </c>
    </row>
    <row r="59">
      <c r="A59" s="10" t="n"/>
      <c r="B59" s="7" t="n"/>
      <c r="C59" s="11" t="n"/>
      <c r="D59" s="11" t="n"/>
      <c r="E59" s="10" t="n"/>
      <c r="F59" s="10" t="n"/>
      <c r="G59" s="10" t="n"/>
      <c r="H59" s="10">
        <f>IF(OR(C59="",E59=""),"",IF(AND(C59&lt;=Parametros!$B$4,E59&lt;&gt;"alta"),"RASA",IF(OR(C59&gt;=Parametros!$B$5,E59="alta"),"PROFUNDA","ZONA CINZENTA")))</f>
        <v/>
      </c>
      <c r="I59" s="7">
        <f>IF(H59="","",IF(H59="RASA","Sapata (isolada/corrida/associada) ou radier",IF(H59="PROFUNDA",IF(F59="Sim","Estaca helice continua/escavada (sem trepidacao)","Estaca (pre-moldada/helice) ou tubulao*")&amp;IF(G59="Sim","; acesso restrito: raiz/Strauss",""),"Levar ao projetista (decisao final)")))</f>
        <v/>
      </c>
      <c r="J59" s="7">
        <f>IF(H59="","",TRIM(IF(D59&lt;&gt;"",IF(D59&lt;Parametros!$B$6,"NA alto: cautela tubulao a ceu aberto. ",""),"")&amp;IF(H59="PROFUNDA",IF(F59="Sim","Vizinhanca sensivel: evitar cravacao. ",""),"")&amp;IF(H59="ZONA CINZENTA","Decisao do projetista; desempate pelo custo da falha. ","")&amp;IF(E59="alta","Carga alta: dimensionamento pelo projetista. ","")))</f>
        <v/>
      </c>
    </row>
    <row r="60">
      <c r="A60" s="12" t="n"/>
      <c r="B60" s="13" t="n"/>
      <c r="C60" s="14" t="n"/>
      <c r="D60" s="14" t="n"/>
      <c r="E60" s="12" t="n"/>
      <c r="F60" s="12" t="n"/>
      <c r="G60" s="12" t="n"/>
      <c r="H60" s="12">
        <f>IF(OR(C60="",E60=""),"",IF(AND(C60&lt;=Parametros!$B$4,E60&lt;&gt;"alta"),"RASA",IF(OR(C60&gt;=Parametros!$B$5,E60="alta"),"PROFUNDA","ZONA CINZENTA")))</f>
        <v/>
      </c>
      <c r="I60" s="13">
        <f>IF(H60="","",IF(H60="RASA","Sapata (isolada/corrida/associada) ou radier",IF(H60="PROFUNDA",IF(F60="Sim","Estaca helice continua/escavada (sem trepidacao)","Estaca (pre-moldada/helice) ou tubulao*")&amp;IF(G60="Sim","; acesso restrito: raiz/Strauss",""),"Levar ao projetista (decisao final)")))</f>
        <v/>
      </c>
      <c r="J60" s="13">
        <f>IF(H60="","",TRIM(IF(D60&lt;&gt;"",IF(D60&lt;Parametros!$B$6,"NA alto: cautela tubulao a ceu aberto. ",""),"")&amp;IF(H60="PROFUNDA",IF(F60="Sim","Vizinhanca sensivel: evitar cravacao. ",""),"")&amp;IF(H60="ZONA CINZENTA","Decisao do projetista; desempate pelo custo da falha. ","")&amp;IF(E60="alta","Carga alta: dimensionamento pelo projetista. ","")))</f>
        <v/>
      </c>
    </row>
    <row r="61">
      <c r="A61" s="10" t="n"/>
      <c r="B61" s="7" t="n"/>
      <c r="C61" s="11" t="n"/>
      <c r="D61" s="11" t="n"/>
      <c r="E61" s="10" t="n"/>
      <c r="F61" s="10" t="n"/>
      <c r="G61" s="10" t="n"/>
      <c r="H61" s="10">
        <f>IF(OR(C61="",E61=""),"",IF(AND(C61&lt;=Parametros!$B$4,E61&lt;&gt;"alta"),"RASA",IF(OR(C61&gt;=Parametros!$B$5,E61="alta"),"PROFUNDA","ZONA CINZENTA")))</f>
        <v/>
      </c>
      <c r="I61" s="7">
        <f>IF(H61="","",IF(H61="RASA","Sapata (isolada/corrida/associada) ou radier",IF(H61="PROFUNDA",IF(F61="Sim","Estaca helice continua/escavada (sem trepidacao)","Estaca (pre-moldada/helice) ou tubulao*")&amp;IF(G61="Sim","; acesso restrito: raiz/Strauss",""),"Levar ao projetista (decisao final)")))</f>
        <v/>
      </c>
      <c r="J61" s="7">
        <f>IF(H61="","",TRIM(IF(D61&lt;&gt;"",IF(D61&lt;Parametros!$B$6,"NA alto: cautela tubulao a ceu aberto. ",""),"")&amp;IF(H61="PROFUNDA",IF(F61="Sim","Vizinhanca sensivel: evitar cravacao. ",""),"")&amp;IF(H61="ZONA CINZENTA","Decisao do projetista; desempate pelo custo da falha. ","")&amp;IF(E61="alta","Carga alta: dimensionamento pelo projetista. ","")))</f>
        <v/>
      </c>
    </row>
    <row r="62">
      <c r="A62" s="12" t="n"/>
      <c r="B62" s="13" t="n"/>
      <c r="C62" s="14" t="n"/>
      <c r="D62" s="14" t="n"/>
      <c r="E62" s="12" t="n"/>
      <c r="F62" s="12" t="n"/>
      <c r="G62" s="12" t="n"/>
      <c r="H62" s="12">
        <f>IF(OR(C62="",E62=""),"",IF(AND(C62&lt;=Parametros!$B$4,E62&lt;&gt;"alta"),"RASA",IF(OR(C62&gt;=Parametros!$B$5,E62="alta"),"PROFUNDA","ZONA CINZENTA")))</f>
        <v/>
      </c>
      <c r="I62" s="13">
        <f>IF(H62="","",IF(H62="RASA","Sapata (isolada/corrida/associada) ou radier",IF(H62="PROFUNDA",IF(F62="Sim","Estaca helice continua/escavada (sem trepidacao)","Estaca (pre-moldada/helice) ou tubulao*")&amp;IF(G62="Sim","; acesso restrito: raiz/Strauss",""),"Levar ao projetista (decisao final)")))</f>
        <v/>
      </c>
      <c r="J62" s="13">
        <f>IF(H62="","",TRIM(IF(D62&lt;&gt;"",IF(D62&lt;Parametros!$B$6,"NA alto: cautela tubulao a ceu aberto. ",""),"")&amp;IF(H62="PROFUNDA",IF(F62="Sim","Vizinhanca sensivel: evitar cravacao. ",""),"")&amp;IF(H62="ZONA CINZENTA","Decisao do projetista; desempate pelo custo da falha. ","")&amp;IF(E62="alta","Carga alta: dimensionamento pelo projetista. ","")))</f>
        <v/>
      </c>
    </row>
    <row r="63">
      <c r="A63" s="10" t="n"/>
      <c r="B63" s="7" t="n"/>
      <c r="C63" s="11" t="n"/>
      <c r="D63" s="11" t="n"/>
      <c r="E63" s="10" t="n"/>
      <c r="F63" s="10" t="n"/>
      <c r="G63" s="10" t="n"/>
      <c r="H63" s="10">
        <f>IF(OR(C63="",E63=""),"",IF(AND(C63&lt;=Parametros!$B$4,E63&lt;&gt;"alta"),"RASA",IF(OR(C63&gt;=Parametros!$B$5,E63="alta"),"PROFUNDA","ZONA CINZENTA")))</f>
        <v/>
      </c>
      <c r="I63" s="7">
        <f>IF(H63="","",IF(H63="RASA","Sapata (isolada/corrida/associada) ou radier",IF(H63="PROFUNDA",IF(F63="Sim","Estaca helice continua/escavada (sem trepidacao)","Estaca (pre-moldada/helice) ou tubulao*")&amp;IF(G63="Sim","; acesso restrito: raiz/Strauss",""),"Levar ao projetista (decisao final)")))</f>
        <v/>
      </c>
      <c r="J63" s="7">
        <f>IF(H63="","",TRIM(IF(D63&lt;&gt;"",IF(D63&lt;Parametros!$B$6,"NA alto: cautela tubulao a ceu aberto. ",""),"")&amp;IF(H63="PROFUNDA",IF(F63="Sim","Vizinhanca sensivel: evitar cravacao. ",""),"")&amp;IF(H63="ZONA CINZENTA","Decisao do projetista; desempate pelo custo da falha. ","")&amp;IF(E63="alta","Carga alta: dimensionamento pelo projetista. ","")))</f>
        <v/>
      </c>
    </row>
    <row r="64">
      <c r="A64" s="12" t="n"/>
      <c r="B64" s="13" t="n"/>
      <c r="C64" s="14" t="n"/>
      <c r="D64" s="14" t="n"/>
      <c r="E64" s="12" t="n"/>
      <c r="F64" s="12" t="n"/>
      <c r="G64" s="12" t="n"/>
      <c r="H64" s="12">
        <f>IF(OR(C64="",E64=""),"",IF(AND(C64&lt;=Parametros!$B$4,E64&lt;&gt;"alta"),"RASA",IF(OR(C64&gt;=Parametros!$B$5,E64="alta"),"PROFUNDA","ZONA CINZENTA")))</f>
        <v/>
      </c>
      <c r="I64" s="13">
        <f>IF(H64="","",IF(H64="RASA","Sapata (isolada/corrida/associada) ou radier",IF(H64="PROFUNDA",IF(F64="Sim","Estaca helice continua/escavada (sem trepidacao)","Estaca (pre-moldada/helice) ou tubulao*")&amp;IF(G64="Sim","; acesso restrito: raiz/Strauss",""),"Levar ao projetista (decisao final)")))</f>
        <v/>
      </c>
      <c r="J64" s="13">
        <f>IF(H64="","",TRIM(IF(D64&lt;&gt;"",IF(D64&lt;Parametros!$B$6,"NA alto: cautela tubulao a ceu aberto. ",""),"")&amp;IF(H64="PROFUNDA",IF(F64="Sim","Vizinhanca sensivel: evitar cravacao. ",""),"")&amp;IF(H64="ZONA CINZENTA","Decisao do projetista; desempate pelo custo da falha. ","")&amp;IF(E64="alta","Carga alta: dimensionamento pelo projetista. ","")))</f>
        <v/>
      </c>
    </row>
    <row r="65">
      <c r="A65" s="10" t="n"/>
      <c r="B65" s="7" t="n"/>
      <c r="C65" s="11" t="n"/>
      <c r="D65" s="11" t="n"/>
      <c r="E65" s="10" t="n"/>
      <c r="F65" s="10" t="n"/>
      <c r="G65" s="10" t="n"/>
      <c r="H65" s="10">
        <f>IF(OR(C65="",E65=""),"",IF(AND(C65&lt;=Parametros!$B$4,E65&lt;&gt;"alta"),"RASA",IF(OR(C65&gt;=Parametros!$B$5,E65="alta"),"PROFUNDA","ZONA CINZENTA")))</f>
        <v/>
      </c>
      <c r="I65" s="7">
        <f>IF(H65="","",IF(H65="RASA","Sapata (isolada/corrida/associada) ou radier",IF(H65="PROFUNDA",IF(F65="Sim","Estaca helice continua/escavada (sem trepidacao)","Estaca (pre-moldada/helice) ou tubulao*")&amp;IF(G65="Sim","; acesso restrito: raiz/Strauss",""),"Levar ao projetista (decisao final)")))</f>
        <v/>
      </c>
      <c r="J65" s="7">
        <f>IF(H65="","",TRIM(IF(D65&lt;&gt;"",IF(D65&lt;Parametros!$B$6,"NA alto: cautela tubulao a ceu aberto. ",""),"")&amp;IF(H65="PROFUNDA",IF(F65="Sim","Vizinhanca sensivel: evitar cravacao. ",""),"")&amp;IF(H65="ZONA CINZENTA","Decisao do projetista; desempate pelo custo da falha. ","")&amp;IF(E65="alta","Carga alta: dimensionamento pelo projetista. ","")))</f>
        <v/>
      </c>
    </row>
    <row r="66">
      <c r="A66" s="12" t="n"/>
      <c r="B66" s="13" t="n"/>
      <c r="C66" s="14" t="n"/>
      <c r="D66" s="14" t="n"/>
      <c r="E66" s="12" t="n"/>
      <c r="F66" s="12" t="n"/>
      <c r="G66" s="12" t="n"/>
      <c r="H66" s="12">
        <f>IF(OR(C66="",E66=""),"",IF(AND(C66&lt;=Parametros!$B$4,E66&lt;&gt;"alta"),"RASA",IF(OR(C66&gt;=Parametros!$B$5,E66="alta"),"PROFUNDA","ZONA CINZENTA")))</f>
        <v/>
      </c>
      <c r="I66" s="13">
        <f>IF(H66="","",IF(H66="RASA","Sapata (isolada/corrida/associada) ou radier",IF(H66="PROFUNDA",IF(F66="Sim","Estaca helice continua/escavada (sem trepidacao)","Estaca (pre-moldada/helice) ou tubulao*")&amp;IF(G66="Sim","; acesso restrito: raiz/Strauss",""),"Levar ao projetista (decisao final)")))</f>
        <v/>
      </c>
      <c r="J66" s="13">
        <f>IF(H66="","",TRIM(IF(D66&lt;&gt;"",IF(D66&lt;Parametros!$B$6,"NA alto: cautela tubulao a ceu aberto. ",""),"")&amp;IF(H66="PROFUNDA",IF(F66="Sim","Vizinhanca sensivel: evitar cravacao. ",""),"")&amp;IF(H66="ZONA CINZENTA","Decisao do projetista; desempate pelo custo da falha. ","")&amp;IF(E66="alta","Carga alta: dimensionamento pelo projetista. ","")))</f>
        <v/>
      </c>
    </row>
    <row r="67">
      <c r="A67" s="10" t="n"/>
      <c r="B67" s="7" t="n"/>
      <c r="C67" s="11" t="n"/>
      <c r="D67" s="11" t="n"/>
      <c r="E67" s="10" t="n"/>
      <c r="F67" s="10" t="n"/>
      <c r="G67" s="10" t="n"/>
      <c r="H67" s="10">
        <f>IF(OR(C67="",E67=""),"",IF(AND(C67&lt;=Parametros!$B$4,E67&lt;&gt;"alta"),"RASA",IF(OR(C67&gt;=Parametros!$B$5,E67="alta"),"PROFUNDA","ZONA CINZENTA")))</f>
        <v/>
      </c>
      <c r="I67" s="7">
        <f>IF(H67="","",IF(H67="RASA","Sapata (isolada/corrida/associada) ou radier",IF(H67="PROFUNDA",IF(F67="Sim","Estaca helice continua/escavada (sem trepidacao)","Estaca (pre-moldada/helice) ou tubulao*")&amp;IF(G67="Sim","; acesso restrito: raiz/Strauss",""),"Levar ao projetista (decisao final)")))</f>
        <v/>
      </c>
      <c r="J67" s="7">
        <f>IF(H67="","",TRIM(IF(D67&lt;&gt;"",IF(D67&lt;Parametros!$B$6,"NA alto: cautela tubulao a ceu aberto. ",""),"")&amp;IF(H67="PROFUNDA",IF(F67="Sim","Vizinhanca sensivel: evitar cravacao. ",""),"")&amp;IF(H67="ZONA CINZENTA","Decisao do projetista; desempate pelo custo da falha. ","")&amp;IF(E67="alta","Carga alta: dimensionamento pelo projetista. ","")))</f>
        <v/>
      </c>
    </row>
    <row r="68">
      <c r="A68" s="12" t="n"/>
      <c r="B68" s="13" t="n"/>
      <c r="C68" s="14" t="n"/>
      <c r="D68" s="14" t="n"/>
      <c r="E68" s="12" t="n"/>
      <c r="F68" s="12" t="n"/>
      <c r="G68" s="12" t="n"/>
      <c r="H68" s="12">
        <f>IF(OR(C68="",E68=""),"",IF(AND(C68&lt;=Parametros!$B$4,E68&lt;&gt;"alta"),"RASA",IF(OR(C68&gt;=Parametros!$B$5,E68="alta"),"PROFUNDA","ZONA CINZENTA")))</f>
        <v/>
      </c>
      <c r="I68" s="13">
        <f>IF(H68="","",IF(H68="RASA","Sapata (isolada/corrida/associada) ou radier",IF(H68="PROFUNDA",IF(F68="Sim","Estaca helice continua/escavada (sem trepidacao)","Estaca (pre-moldada/helice) ou tubulao*")&amp;IF(G68="Sim","; acesso restrito: raiz/Strauss",""),"Levar ao projetista (decisao final)")))</f>
        <v/>
      </c>
      <c r="J68" s="13">
        <f>IF(H68="","",TRIM(IF(D68&lt;&gt;"",IF(D68&lt;Parametros!$B$6,"NA alto: cautela tubulao a ceu aberto. ",""),"")&amp;IF(H68="PROFUNDA",IF(F68="Sim","Vizinhanca sensivel: evitar cravacao. ",""),"")&amp;IF(H68="ZONA CINZENTA","Decisao do projetista; desempate pelo custo da falha. ","")&amp;IF(E68="alta","Carga alta: dimensionamento pelo projetista. ","")))</f>
        <v/>
      </c>
    </row>
    <row r="69">
      <c r="A69" s="10" t="n"/>
      <c r="B69" s="7" t="n"/>
      <c r="C69" s="11" t="n"/>
      <c r="D69" s="11" t="n"/>
      <c r="E69" s="10" t="n"/>
      <c r="F69" s="10" t="n"/>
      <c r="G69" s="10" t="n"/>
      <c r="H69" s="10">
        <f>IF(OR(C69="",E69=""),"",IF(AND(C69&lt;=Parametros!$B$4,E69&lt;&gt;"alta"),"RASA",IF(OR(C69&gt;=Parametros!$B$5,E69="alta"),"PROFUNDA","ZONA CINZENTA")))</f>
        <v/>
      </c>
      <c r="I69" s="7">
        <f>IF(H69="","",IF(H69="RASA","Sapata (isolada/corrida/associada) ou radier",IF(H69="PROFUNDA",IF(F69="Sim","Estaca helice continua/escavada (sem trepidacao)","Estaca (pre-moldada/helice) ou tubulao*")&amp;IF(G69="Sim","; acesso restrito: raiz/Strauss",""),"Levar ao projetista (decisao final)")))</f>
        <v/>
      </c>
      <c r="J69" s="7">
        <f>IF(H69="","",TRIM(IF(D69&lt;&gt;"",IF(D69&lt;Parametros!$B$6,"NA alto: cautela tubulao a ceu aberto. ",""),"")&amp;IF(H69="PROFUNDA",IF(F69="Sim","Vizinhanca sensivel: evitar cravacao. ",""),"")&amp;IF(H69="ZONA CINZENTA","Decisao do projetista; desempate pelo custo da falha. ","")&amp;IF(E69="alta","Carga alta: dimensionamento pelo projetista. ","")))</f>
        <v/>
      </c>
    </row>
    <row r="70">
      <c r="A70" s="12" t="n"/>
      <c r="B70" s="13" t="n"/>
      <c r="C70" s="14" t="n"/>
      <c r="D70" s="14" t="n"/>
      <c r="E70" s="12" t="n"/>
      <c r="F70" s="12" t="n"/>
      <c r="G70" s="12" t="n"/>
      <c r="H70" s="12">
        <f>IF(OR(C70="",E70=""),"",IF(AND(C70&lt;=Parametros!$B$4,E70&lt;&gt;"alta"),"RASA",IF(OR(C70&gt;=Parametros!$B$5,E70="alta"),"PROFUNDA","ZONA CINZENTA")))</f>
        <v/>
      </c>
      <c r="I70" s="13">
        <f>IF(H70="","",IF(H70="RASA","Sapata (isolada/corrida/associada) ou radier",IF(H70="PROFUNDA",IF(F70="Sim","Estaca helice continua/escavada (sem trepidacao)","Estaca (pre-moldada/helice) ou tubulao*")&amp;IF(G70="Sim","; acesso restrito: raiz/Strauss",""),"Levar ao projetista (decisao final)")))</f>
        <v/>
      </c>
      <c r="J70" s="13">
        <f>IF(H70="","",TRIM(IF(D70&lt;&gt;"",IF(D70&lt;Parametros!$B$6,"NA alto: cautela tubulao a ceu aberto. ",""),"")&amp;IF(H70="PROFUNDA",IF(F70="Sim","Vizinhanca sensivel: evitar cravacao. ",""),"")&amp;IF(H70="ZONA CINZENTA","Decisao do projetista; desempate pelo custo da falha. ","")&amp;IF(E70="alta","Carga alta: dimensionamento pelo projetista. ","")))</f>
        <v/>
      </c>
    </row>
    <row r="71">
      <c r="A71" s="10" t="n"/>
      <c r="B71" s="7" t="n"/>
      <c r="C71" s="11" t="n"/>
      <c r="D71" s="11" t="n"/>
      <c r="E71" s="10" t="n"/>
      <c r="F71" s="10" t="n"/>
      <c r="G71" s="10" t="n"/>
      <c r="H71" s="10">
        <f>IF(OR(C71="",E71=""),"",IF(AND(C71&lt;=Parametros!$B$4,E71&lt;&gt;"alta"),"RASA",IF(OR(C71&gt;=Parametros!$B$5,E71="alta"),"PROFUNDA","ZONA CINZENTA")))</f>
        <v/>
      </c>
      <c r="I71" s="7">
        <f>IF(H71="","",IF(H71="RASA","Sapata (isolada/corrida/associada) ou radier",IF(H71="PROFUNDA",IF(F71="Sim","Estaca helice continua/escavada (sem trepidacao)","Estaca (pre-moldada/helice) ou tubulao*")&amp;IF(G71="Sim","; acesso restrito: raiz/Strauss",""),"Levar ao projetista (decisao final)")))</f>
        <v/>
      </c>
      <c r="J71" s="7">
        <f>IF(H71="","",TRIM(IF(D71&lt;&gt;"",IF(D71&lt;Parametros!$B$6,"NA alto: cautela tubulao a ceu aberto. ",""),"")&amp;IF(H71="PROFUNDA",IF(F71="Sim","Vizinhanca sensivel: evitar cravacao. ",""),"")&amp;IF(H71="ZONA CINZENTA","Decisao do projetista; desempate pelo custo da falha. ","")&amp;IF(E71="alta","Carga alta: dimensionamento pelo projetista. ","")))</f>
        <v/>
      </c>
    </row>
    <row r="72">
      <c r="A72" s="12" t="n"/>
      <c r="B72" s="13" t="n"/>
      <c r="C72" s="14" t="n"/>
      <c r="D72" s="14" t="n"/>
      <c r="E72" s="12" t="n"/>
      <c r="F72" s="12" t="n"/>
      <c r="G72" s="12" t="n"/>
      <c r="H72" s="12">
        <f>IF(OR(C72="",E72=""),"",IF(AND(C72&lt;=Parametros!$B$4,E72&lt;&gt;"alta"),"RASA",IF(OR(C72&gt;=Parametros!$B$5,E72="alta"),"PROFUNDA","ZONA CINZENTA")))</f>
        <v/>
      </c>
      <c r="I72" s="13">
        <f>IF(H72="","",IF(H72="RASA","Sapata (isolada/corrida/associada) ou radier",IF(H72="PROFUNDA",IF(F72="Sim","Estaca helice continua/escavada (sem trepidacao)","Estaca (pre-moldada/helice) ou tubulao*")&amp;IF(G72="Sim","; acesso restrito: raiz/Strauss",""),"Levar ao projetista (decisao final)")))</f>
        <v/>
      </c>
      <c r="J72" s="13">
        <f>IF(H72="","",TRIM(IF(D72&lt;&gt;"",IF(D72&lt;Parametros!$B$6,"NA alto: cautela tubulao a ceu aberto. ",""),"")&amp;IF(H72="PROFUNDA",IF(F72="Sim","Vizinhanca sensivel: evitar cravacao. ",""),"")&amp;IF(H72="ZONA CINZENTA","Decisao do projetista; desempate pelo custo da falha. ","")&amp;IF(E72="alta","Carga alta: dimensionamento pelo projetista. ","")))</f>
        <v/>
      </c>
    </row>
    <row r="73">
      <c r="A73" s="10" t="n"/>
      <c r="B73" s="7" t="n"/>
      <c r="C73" s="11" t="n"/>
      <c r="D73" s="11" t="n"/>
      <c r="E73" s="10" t="n"/>
      <c r="F73" s="10" t="n"/>
      <c r="G73" s="10" t="n"/>
      <c r="H73" s="10">
        <f>IF(OR(C73="",E73=""),"",IF(AND(C73&lt;=Parametros!$B$4,E73&lt;&gt;"alta"),"RASA",IF(OR(C73&gt;=Parametros!$B$5,E73="alta"),"PROFUNDA","ZONA CINZENTA")))</f>
        <v/>
      </c>
      <c r="I73" s="7">
        <f>IF(H73="","",IF(H73="RASA","Sapata (isolada/corrida/associada) ou radier",IF(H73="PROFUNDA",IF(F73="Sim","Estaca helice continua/escavada (sem trepidacao)","Estaca (pre-moldada/helice) ou tubulao*")&amp;IF(G73="Sim","; acesso restrito: raiz/Strauss",""),"Levar ao projetista (decisao final)")))</f>
        <v/>
      </c>
      <c r="J73" s="7">
        <f>IF(H73="","",TRIM(IF(D73&lt;&gt;"",IF(D73&lt;Parametros!$B$6,"NA alto: cautela tubulao a ceu aberto. ",""),"")&amp;IF(H73="PROFUNDA",IF(F73="Sim","Vizinhanca sensivel: evitar cravacao. ",""),"")&amp;IF(H73="ZONA CINZENTA","Decisao do projetista; desempate pelo custo da falha. ","")&amp;IF(E73="alta","Carga alta: dimensionamento pelo projetista. ","")))</f>
        <v/>
      </c>
    </row>
    <row r="74">
      <c r="A74" s="12" t="n"/>
      <c r="B74" s="13" t="n"/>
      <c r="C74" s="14" t="n"/>
      <c r="D74" s="14" t="n"/>
      <c r="E74" s="12" t="n"/>
      <c r="F74" s="12" t="n"/>
      <c r="G74" s="12" t="n"/>
      <c r="H74" s="12">
        <f>IF(OR(C74="",E74=""),"",IF(AND(C74&lt;=Parametros!$B$4,E74&lt;&gt;"alta"),"RASA",IF(OR(C74&gt;=Parametros!$B$5,E74="alta"),"PROFUNDA","ZONA CINZENTA")))</f>
        <v/>
      </c>
      <c r="I74" s="13">
        <f>IF(H74="","",IF(H74="RASA","Sapata (isolada/corrida/associada) ou radier",IF(H74="PROFUNDA",IF(F74="Sim","Estaca helice continua/escavada (sem trepidacao)","Estaca (pre-moldada/helice) ou tubulao*")&amp;IF(G74="Sim","; acesso restrito: raiz/Strauss",""),"Levar ao projetista (decisao final)")))</f>
        <v/>
      </c>
      <c r="J74" s="13">
        <f>IF(H74="","",TRIM(IF(D74&lt;&gt;"",IF(D74&lt;Parametros!$B$6,"NA alto: cautela tubulao a ceu aberto. ",""),"")&amp;IF(H74="PROFUNDA",IF(F74="Sim","Vizinhanca sensivel: evitar cravacao. ",""),"")&amp;IF(H74="ZONA CINZENTA","Decisao do projetista; desempate pelo custo da falha. ","")&amp;IF(E74="alta","Carga alta: dimensionamento pelo projetista. ","")))</f>
        <v/>
      </c>
    </row>
    <row r="75">
      <c r="A75" s="10" t="n"/>
      <c r="B75" s="7" t="n"/>
      <c r="C75" s="11" t="n"/>
      <c r="D75" s="11" t="n"/>
      <c r="E75" s="10" t="n"/>
      <c r="F75" s="10" t="n"/>
      <c r="G75" s="10" t="n"/>
      <c r="H75" s="10">
        <f>IF(OR(C75="",E75=""),"",IF(AND(C75&lt;=Parametros!$B$4,E75&lt;&gt;"alta"),"RASA",IF(OR(C75&gt;=Parametros!$B$5,E75="alta"),"PROFUNDA","ZONA CINZENTA")))</f>
        <v/>
      </c>
      <c r="I75" s="7">
        <f>IF(H75="","",IF(H75="RASA","Sapata (isolada/corrida/associada) ou radier",IF(H75="PROFUNDA",IF(F75="Sim","Estaca helice continua/escavada (sem trepidacao)","Estaca (pre-moldada/helice) ou tubulao*")&amp;IF(G75="Sim","; acesso restrito: raiz/Strauss",""),"Levar ao projetista (decisao final)")))</f>
        <v/>
      </c>
      <c r="J75" s="7">
        <f>IF(H75="","",TRIM(IF(D75&lt;&gt;"",IF(D75&lt;Parametros!$B$6,"NA alto: cautela tubulao a ceu aberto. ",""),"")&amp;IF(H75="PROFUNDA",IF(F75="Sim","Vizinhanca sensivel: evitar cravacao. ",""),"")&amp;IF(H75="ZONA CINZENTA","Decisao do projetista; desempate pelo custo da falha. ","")&amp;IF(E75="alta","Carga alta: dimensionamento pelo projetista. ","")))</f>
        <v/>
      </c>
    </row>
    <row r="76">
      <c r="A76" s="12" t="n"/>
      <c r="B76" s="13" t="n"/>
      <c r="C76" s="14" t="n"/>
      <c r="D76" s="14" t="n"/>
      <c r="E76" s="12" t="n"/>
      <c r="F76" s="12" t="n"/>
      <c r="G76" s="12" t="n"/>
      <c r="H76" s="12">
        <f>IF(OR(C76="",E76=""),"",IF(AND(C76&lt;=Parametros!$B$4,E76&lt;&gt;"alta"),"RASA",IF(OR(C76&gt;=Parametros!$B$5,E76="alta"),"PROFUNDA","ZONA CINZENTA")))</f>
        <v/>
      </c>
      <c r="I76" s="13">
        <f>IF(H76="","",IF(H76="RASA","Sapata (isolada/corrida/associada) ou radier",IF(H76="PROFUNDA",IF(F76="Sim","Estaca helice continua/escavada (sem trepidacao)","Estaca (pre-moldada/helice) ou tubulao*")&amp;IF(G76="Sim","; acesso restrito: raiz/Strauss",""),"Levar ao projetista (decisao final)")))</f>
        <v/>
      </c>
      <c r="J76" s="13">
        <f>IF(H76="","",TRIM(IF(D76&lt;&gt;"",IF(D76&lt;Parametros!$B$6,"NA alto: cautela tubulao a ceu aberto. ",""),"")&amp;IF(H76="PROFUNDA",IF(F76="Sim","Vizinhanca sensivel: evitar cravacao. ",""),"")&amp;IF(H76="ZONA CINZENTA","Decisao do projetista; desempate pelo custo da falha. ","")&amp;IF(E76="alta","Carga alta: dimensionamento pelo projetista. ","")))</f>
        <v/>
      </c>
    </row>
    <row r="77">
      <c r="A77" s="10" t="n"/>
      <c r="B77" s="7" t="n"/>
      <c r="C77" s="11" t="n"/>
      <c r="D77" s="11" t="n"/>
      <c r="E77" s="10" t="n"/>
      <c r="F77" s="10" t="n"/>
      <c r="G77" s="10" t="n"/>
      <c r="H77" s="10">
        <f>IF(OR(C77="",E77=""),"",IF(AND(C77&lt;=Parametros!$B$4,E77&lt;&gt;"alta"),"RASA",IF(OR(C77&gt;=Parametros!$B$5,E77="alta"),"PROFUNDA","ZONA CINZENTA")))</f>
        <v/>
      </c>
      <c r="I77" s="7">
        <f>IF(H77="","",IF(H77="RASA","Sapata (isolada/corrida/associada) ou radier",IF(H77="PROFUNDA",IF(F77="Sim","Estaca helice continua/escavada (sem trepidacao)","Estaca (pre-moldada/helice) ou tubulao*")&amp;IF(G77="Sim","; acesso restrito: raiz/Strauss",""),"Levar ao projetista (decisao final)")))</f>
        <v/>
      </c>
      <c r="J77" s="7">
        <f>IF(H77="","",TRIM(IF(D77&lt;&gt;"",IF(D77&lt;Parametros!$B$6,"NA alto: cautela tubulao a ceu aberto. ",""),"")&amp;IF(H77="PROFUNDA",IF(F77="Sim","Vizinhanca sensivel: evitar cravacao. ",""),"")&amp;IF(H77="ZONA CINZENTA","Decisao do projetista; desempate pelo custo da falha. ","")&amp;IF(E77="alta","Carga alta: dimensionamento pelo projetista. ","")))</f>
        <v/>
      </c>
    </row>
    <row r="78">
      <c r="A78" s="12" t="n"/>
      <c r="B78" s="13" t="n"/>
      <c r="C78" s="14" t="n"/>
      <c r="D78" s="14" t="n"/>
      <c r="E78" s="12" t="n"/>
      <c r="F78" s="12" t="n"/>
      <c r="G78" s="12" t="n"/>
      <c r="H78" s="12">
        <f>IF(OR(C78="",E78=""),"",IF(AND(C78&lt;=Parametros!$B$4,E78&lt;&gt;"alta"),"RASA",IF(OR(C78&gt;=Parametros!$B$5,E78="alta"),"PROFUNDA","ZONA CINZENTA")))</f>
        <v/>
      </c>
      <c r="I78" s="13">
        <f>IF(H78="","",IF(H78="RASA","Sapata (isolada/corrida/associada) ou radier",IF(H78="PROFUNDA",IF(F78="Sim","Estaca helice continua/escavada (sem trepidacao)","Estaca (pre-moldada/helice) ou tubulao*")&amp;IF(G78="Sim","; acesso restrito: raiz/Strauss",""),"Levar ao projetista (decisao final)")))</f>
        <v/>
      </c>
      <c r="J78" s="13">
        <f>IF(H78="","",TRIM(IF(D78&lt;&gt;"",IF(D78&lt;Parametros!$B$6,"NA alto: cautela tubulao a ceu aberto. ",""),"")&amp;IF(H78="PROFUNDA",IF(F78="Sim","Vizinhanca sensivel: evitar cravacao. ",""),"")&amp;IF(H78="ZONA CINZENTA","Decisao do projetista; desempate pelo custo da falha. ","")&amp;IF(E78="alta","Carga alta: dimensionamento pelo projetista. ","")))</f>
        <v/>
      </c>
    </row>
    <row r="79">
      <c r="A79" s="10" t="n"/>
      <c r="B79" s="7" t="n"/>
      <c r="C79" s="11" t="n"/>
      <c r="D79" s="11" t="n"/>
      <c r="E79" s="10" t="n"/>
      <c r="F79" s="10" t="n"/>
      <c r="G79" s="10" t="n"/>
      <c r="H79" s="10">
        <f>IF(OR(C79="",E79=""),"",IF(AND(C79&lt;=Parametros!$B$4,E79&lt;&gt;"alta"),"RASA",IF(OR(C79&gt;=Parametros!$B$5,E79="alta"),"PROFUNDA","ZONA CINZENTA")))</f>
        <v/>
      </c>
      <c r="I79" s="7">
        <f>IF(H79="","",IF(H79="RASA","Sapata (isolada/corrida/associada) ou radier",IF(H79="PROFUNDA",IF(F79="Sim","Estaca helice continua/escavada (sem trepidacao)","Estaca (pre-moldada/helice) ou tubulao*")&amp;IF(G79="Sim","; acesso restrito: raiz/Strauss",""),"Levar ao projetista (decisao final)")))</f>
        <v/>
      </c>
      <c r="J79" s="7">
        <f>IF(H79="","",TRIM(IF(D79&lt;&gt;"",IF(D79&lt;Parametros!$B$6,"NA alto: cautela tubulao a ceu aberto. ",""),"")&amp;IF(H79="PROFUNDA",IF(F79="Sim","Vizinhanca sensivel: evitar cravacao. ",""),"")&amp;IF(H79="ZONA CINZENTA","Decisao do projetista; desempate pelo custo da falha. ","")&amp;IF(E79="alta","Carga alta: dimensionamento pelo projetista. ","")))</f>
        <v/>
      </c>
    </row>
    <row r="80">
      <c r="A80" s="12" t="n"/>
      <c r="B80" s="13" t="n"/>
      <c r="C80" s="14" t="n"/>
      <c r="D80" s="14" t="n"/>
      <c r="E80" s="12" t="n"/>
      <c r="F80" s="12" t="n"/>
      <c r="G80" s="12" t="n"/>
      <c r="H80" s="12">
        <f>IF(OR(C80="",E80=""),"",IF(AND(C80&lt;=Parametros!$B$4,E80&lt;&gt;"alta"),"RASA",IF(OR(C80&gt;=Parametros!$B$5,E80="alta"),"PROFUNDA","ZONA CINZENTA")))</f>
        <v/>
      </c>
      <c r="I80" s="13">
        <f>IF(H80="","",IF(H80="RASA","Sapata (isolada/corrida/associada) ou radier",IF(H80="PROFUNDA",IF(F80="Sim","Estaca helice continua/escavada (sem trepidacao)","Estaca (pre-moldada/helice) ou tubulao*")&amp;IF(G80="Sim","; acesso restrito: raiz/Strauss",""),"Levar ao projetista (decisao final)")))</f>
        <v/>
      </c>
      <c r="J80" s="13">
        <f>IF(H80="","",TRIM(IF(D80&lt;&gt;"",IF(D80&lt;Parametros!$B$6,"NA alto: cautela tubulao a ceu aberto. ",""),"")&amp;IF(H80="PROFUNDA",IF(F80="Sim","Vizinhanca sensivel: evitar cravacao. ",""),"")&amp;IF(H80="ZONA CINZENTA","Decisao do projetista; desempate pelo custo da falha. ","")&amp;IF(E80="alta","Carga alta: dimensionamento pelo projetista. ","")))</f>
        <v/>
      </c>
    </row>
    <row r="81">
      <c r="A81" s="10" t="n"/>
      <c r="B81" s="7" t="n"/>
      <c r="C81" s="11" t="n"/>
      <c r="D81" s="11" t="n"/>
      <c r="E81" s="10" t="n"/>
      <c r="F81" s="10" t="n"/>
      <c r="G81" s="10" t="n"/>
      <c r="H81" s="10">
        <f>IF(OR(C81="",E81=""),"",IF(AND(C81&lt;=Parametros!$B$4,E81&lt;&gt;"alta"),"RASA",IF(OR(C81&gt;=Parametros!$B$5,E81="alta"),"PROFUNDA","ZONA CINZENTA")))</f>
        <v/>
      </c>
      <c r="I81" s="7">
        <f>IF(H81="","",IF(H81="RASA","Sapata (isolada/corrida/associada) ou radier",IF(H81="PROFUNDA",IF(F81="Sim","Estaca helice continua/escavada (sem trepidacao)","Estaca (pre-moldada/helice) ou tubulao*")&amp;IF(G81="Sim","; acesso restrito: raiz/Strauss",""),"Levar ao projetista (decisao final)")))</f>
        <v/>
      </c>
      <c r="J81" s="7">
        <f>IF(H81="","",TRIM(IF(D81&lt;&gt;"",IF(D81&lt;Parametros!$B$6,"NA alto: cautela tubulao a ceu aberto. ",""),"")&amp;IF(H81="PROFUNDA",IF(F81="Sim","Vizinhanca sensivel: evitar cravacao. ",""),"")&amp;IF(H81="ZONA CINZENTA","Decisao do projetista; desempate pelo custo da falha. ","")&amp;IF(E81="alta","Carga alta: dimensionamento pelo projetista. ","")))</f>
        <v/>
      </c>
    </row>
    <row r="82">
      <c r="A82" s="12" t="n"/>
      <c r="B82" s="13" t="n"/>
      <c r="C82" s="14" t="n"/>
      <c r="D82" s="14" t="n"/>
      <c r="E82" s="12" t="n"/>
      <c r="F82" s="12" t="n"/>
      <c r="G82" s="12" t="n"/>
      <c r="H82" s="12">
        <f>IF(OR(C82="",E82=""),"",IF(AND(C82&lt;=Parametros!$B$4,E82&lt;&gt;"alta"),"RASA",IF(OR(C82&gt;=Parametros!$B$5,E82="alta"),"PROFUNDA","ZONA CINZENTA")))</f>
        <v/>
      </c>
      <c r="I82" s="13">
        <f>IF(H82="","",IF(H82="RASA","Sapata (isolada/corrida/associada) ou radier",IF(H82="PROFUNDA",IF(F82="Sim","Estaca helice continua/escavada (sem trepidacao)","Estaca (pre-moldada/helice) ou tubulao*")&amp;IF(G82="Sim","; acesso restrito: raiz/Strauss",""),"Levar ao projetista (decisao final)")))</f>
        <v/>
      </c>
      <c r="J82" s="13">
        <f>IF(H82="","",TRIM(IF(D82&lt;&gt;"",IF(D82&lt;Parametros!$B$6,"NA alto: cautela tubulao a ceu aberto. ",""),"")&amp;IF(H82="PROFUNDA",IF(F82="Sim","Vizinhanca sensivel: evitar cravacao. ",""),"")&amp;IF(H82="ZONA CINZENTA","Decisao do projetista; desempate pelo custo da falha. ","")&amp;IF(E82="alta","Carga alta: dimensionamento pelo projetista. ","")))</f>
        <v/>
      </c>
    </row>
    <row r="83">
      <c r="A83" s="10" t="n"/>
      <c r="B83" s="7" t="n"/>
      <c r="C83" s="11" t="n"/>
      <c r="D83" s="11" t="n"/>
      <c r="E83" s="10" t="n"/>
      <c r="F83" s="10" t="n"/>
      <c r="G83" s="10" t="n"/>
      <c r="H83" s="10">
        <f>IF(OR(C83="",E83=""),"",IF(AND(C83&lt;=Parametros!$B$4,E83&lt;&gt;"alta"),"RASA",IF(OR(C83&gt;=Parametros!$B$5,E83="alta"),"PROFUNDA","ZONA CINZENTA")))</f>
        <v/>
      </c>
      <c r="I83" s="7">
        <f>IF(H83="","",IF(H83="RASA","Sapata (isolada/corrida/associada) ou radier",IF(H83="PROFUNDA",IF(F83="Sim","Estaca helice continua/escavada (sem trepidacao)","Estaca (pre-moldada/helice) ou tubulao*")&amp;IF(G83="Sim","; acesso restrito: raiz/Strauss",""),"Levar ao projetista (decisao final)")))</f>
        <v/>
      </c>
      <c r="J83" s="7">
        <f>IF(H83="","",TRIM(IF(D83&lt;&gt;"",IF(D83&lt;Parametros!$B$6,"NA alto: cautela tubulao a ceu aberto. ",""),"")&amp;IF(H83="PROFUNDA",IF(F83="Sim","Vizinhanca sensivel: evitar cravacao. ",""),"")&amp;IF(H83="ZONA CINZENTA","Decisao do projetista; desempate pelo custo da falha. ","")&amp;IF(E83="alta","Carga alta: dimensionamento pelo projetista. ","")))</f>
        <v/>
      </c>
    </row>
    <row r="84">
      <c r="A84" s="12" t="n"/>
      <c r="B84" s="13" t="n"/>
      <c r="C84" s="14" t="n"/>
      <c r="D84" s="14" t="n"/>
      <c r="E84" s="12" t="n"/>
      <c r="F84" s="12" t="n"/>
      <c r="G84" s="12" t="n"/>
      <c r="H84" s="12">
        <f>IF(OR(C84="",E84=""),"",IF(AND(C84&lt;=Parametros!$B$4,E84&lt;&gt;"alta"),"RASA",IF(OR(C84&gt;=Parametros!$B$5,E84="alta"),"PROFUNDA","ZONA CINZENTA")))</f>
        <v/>
      </c>
      <c r="I84" s="13">
        <f>IF(H84="","",IF(H84="RASA","Sapata (isolada/corrida/associada) ou radier",IF(H84="PROFUNDA",IF(F84="Sim","Estaca helice continua/escavada (sem trepidacao)","Estaca (pre-moldada/helice) ou tubulao*")&amp;IF(G84="Sim","; acesso restrito: raiz/Strauss",""),"Levar ao projetista (decisao final)")))</f>
        <v/>
      </c>
      <c r="J84" s="13">
        <f>IF(H84="","",TRIM(IF(D84&lt;&gt;"",IF(D84&lt;Parametros!$B$6,"NA alto: cautela tubulao a ceu aberto. ",""),"")&amp;IF(H84="PROFUNDA",IF(F84="Sim","Vizinhanca sensivel: evitar cravacao. ",""),"")&amp;IF(H84="ZONA CINZENTA","Decisao do projetista; desempate pelo custo da falha. ","")&amp;IF(E84="alta","Carga alta: dimensionamento pelo projetista. ","")))</f>
        <v/>
      </c>
    </row>
    <row r="85">
      <c r="A85" s="10" t="n"/>
      <c r="B85" s="7" t="n"/>
      <c r="C85" s="11" t="n"/>
      <c r="D85" s="11" t="n"/>
      <c r="E85" s="10" t="n"/>
      <c r="F85" s="10" t="n"/>
      <c r="G85" s="10" t="n"/>
      <c r="H85" s="10">
        <f>IF(OR(C85="",E85=""),"",IF(AND(C85&lt;=Parametros!$B$4,E85&lt;&gt;"alta"),"RASA",IF(OR(C85&gt;=Parametros!$B$5,E85="alta"),"PROFUNDA","ZONA CINZENTA")))</f>
        <v/>
      </c>
      <c r="I85" s="7">
        <f>IF(H85="","",IF(H85="RASA","Sapata (isolada/corrida/associada) ou radier",IF(H85="PROFUNDA",IF(F85="Sim","Estaca helice continua/escavada (sem trepidacao)","Estaca (pre-moldada/helice) ou tubulao*")&amp;IF(G85="Sim","; acesso restrito: raiz/Strauss",""),"Levar ao projetista (decisao final)")))</f>
        <v/>
      </c>
      <c r="J85" s="7">
        <f>IF(H85="","",TRIM(IF(D85&lt;&gt;"",IF(D85&lt;Parametros!$B$6,"NA alto: cautela tubulao a ceu aberto. ",""),"")&amp;IF(H85="PROFUNDA",IF(F85="Sim","Vizinhanca sensivel: evitar cravacao. ",""),"")&amp;IF(H85="ZONA CINZENTA","Decisao do projetista; desempate pelo custo da falha. ","")&amp;IF(E85="alta","Carga alta: dimensionamento pelo projetista. ","")))</f>
        <v/>
      </c>
    </row>
    <row r="86">
      <c r="A86" s="12" t="n"/>
      <c r="B86" s="13" t="n"/>
      <c r="C86" s="14" t="n"/>
      <c r="D86" s="14" t="n"/>
      <c r="E86" s="12" t="n"/>
      <c r="F86" s="12" t="n"/>
      <c r="G86" s="12" t="n"/>
      <c r="H86" s="12">
        <f>IF(OR(C86="",E86=""),"",IF(AND(C86&lt;=Parametros!$B$4,E86&lt;&gt;"alta"),"RASA",IF(OR(C86&gt;=Parametros!$B$5,E86="alta"),"PROFUNDA","ZONA CINZENTA")))</f>
        <v/>
      </c>
      <c r="I86" s="13">
        <f>IF(H86="","",IF(H86="RASA","Sapata (isolada/corrida/associada) ou radier",IF(H86="PROFUNDA",IF(F86="Sim","Estaca helice continua/escavada (sem trepidacao)","Estaca (pre-moldada/helice) ou tubulao*")&amp;IF(G86="Sim","; acesso restrito: raiz/Strauss",""),"Levar ao projetista (decisao final)")))</f>
        <v/>
      </c>
      <c r="J86" s="13">
        <f>IF(H86="","",TRIM(IF(D86&lt;&gt;"",IF(D86&lt;Parametros!$B$6,"NA alto: cautela tubulao a ceu aberto. ",""),"")&amp;IF(H86="PROFUNDA",IF(F86="Sim","Vizinhanca sensivel: evitar cravacao. ",""),"")&amp;IF(H86="ZONA CINZENTA","Decisao do projetista; desempate pelo custo da falha. ","")&amp;IF(E86="alta","Carga alta: dimensionamento pelo projetista. ","")))</f>
        <v/>
      </c>
    </row>
    <row r="87">
      <c r="A87" s="10" t="n"/>
      <c r="B87" s="7" t="n"/>
      <c r="C87" s="11" t="n"/>
      <c r="D87" s="11" t="n"/>
      <c r="E87" s="10" t="n"/>
      <c r="F87" s="10" t="n"/>
      <c r="G87" s="10" t="n"/>
      <c r="H87" s="10">
        <f>IF(OR(C87="",E87=""),"",IF(AND(C87&lt;=Parametros!$B$4,E87&lt;&gt;"alta"),"RASA",IF(OR(C87&gt;=Parametros!$B$5,E87="alta"),"PROFUNDA","ZONA CINZENTA")))</f>
        <v/>
      </c>
      <c r="I87" s="7">
        <f>IF(H87="","",IF(H87="RASA","Sapata (isolada/corrida/associada) ou radier",IF(H87="PROFUNDA",IF(F87="Sim","Estaca helice continua/escavada (sem trepidacao)","Estaca (pre-moldada/helice) ou tubulao*")&amp;IF(G87="Sim","; acesso restrito: raiz/Strauss",""),"Levar ao projetista (decisao final)")))</f>
        <v/>
      </c>
      <c r="J87" s="7">
        <f>IF(H87="","",TRIM(IF(D87&lt;&gt;"",IF(D87&lt;Parametros!$B$6,"NA alto: cautela tubulao a ceu aberto. ",""),"")&amp;IF(H87="PROFUNDA",IF(F87="Sim","Vizinhanca sensivel: evitar cravacao. ",""),"")&amp;IF(H87="ZONA CINZENTA","Decisao do projetista; desempate pelo custo da falha. ","")&amp;IF(E87="alta","Carga alta: dimensionamento pelo projetista. ","")))</f>
        <v/>
      </c>
    </row>
    <row r="88">
      <c r="A88" s="12" t="n"/>
      <c r="B88" s="13" t="n"/>
      <c r="C88" s="14" t="n"/>
      <c r="D88" s="14" t="n"/>
      <c r="E88" s="12" t="n"/>
      <c r="F88" s="12" t="n"/>
      <c r="G88" s="12" t="n"/>
      <c r="H88" s="12">
        <f>IF(OR(C88="",E88=""),"",IF(AND(C88&lt;=Parametros!$B$4,E88&lt;&gt;"alta"),"RASA",IF(OR(C88&gt;=Parametros!$B$5,E88="alta"),"PROFUNDA","ZONA CINZENTA")))</f>
        <v/>
      </c>
      <c r="I88" s="13">
        <f>IF(H88="","",IF(H88="RASA","Sapata (isolada/corrida/associada) ou radier",IF(H88="PROFUNDA",IF(F88="Sim","Estaca helice continua/escavada (sem trepidacao)","Estaca (pre-moldada/helice) ou tubulao*")&amp;IF(G88="Sim","; acesso restrito: raiz/Strauss",""),"Levar ao projetista (decisao final)")))</f>
        <v/>
      </c>
      <c r="J88" s="13">
        <f>IF(H88="","",TRIM(IF(D88&lt;&gt;"",IF(D88&lt;Parametros!$B$6,"NA alto: cautela tubulao a ceu aberto. ",""),"")&amp;IF(H88="PROFUNDA",IF(F88="Sim","Vizinhanca sensivel: evitar cravacao. ",""),"")&amp;IF(H88="ZONA CINZENTA","Decisao do projetista; desempate pelo custo da falha. ","")&amp;IF(E88="alta","Carga alta: dimensionamento pelo projetista. ","")))</f>
        <v/>
      </c>
    </row>
    <row r="89">
      <c r="A89" s="10" t="n"/>
      <c r="B89" s="7" t="n"/>
      <c r="C89" s="11" t="n"/>
      <c r="D89" s="11" t="n"/>
      <c r="E89" s="10" t="n"/>
      <c r="F89" s="10" t="n"/>
      <c r="G89" s="10" t="n"/>
      <c r="H89" s="10">
        <f>IF(OR(C89="",E89=""),"",IF(AND(C89&lt;=Parametros!$B$4,E89&lt;&gt;"alta"),"RASA",IF(OR(C89&gt;=Parametros!$B$5,E89="alta"),"PROFUNDA","ZONA CINZENTA")))</f>
        <v/>
      </c>
      <c r="I89" s="7">
        <f>IF(H89="","",IF(H89="RASA","Sapata (isolada/corrida/associada) ou radier",IF(H89="PROFUNDA",IF(F89="Sim","Estaca helice continua/escavada (sem trepidacao)","Estaca (pre-moldada/helice) ou tubulao*")&amp;IF(G89="Sim","; acesso restrito: raiz/Strauss",""),"Levar ao projetista (decisao final)")))</f>
        <v/>
      </c>
      <c r="J89" s="7">
        <f>IF(H89="","",TRIM(IF(D89&lt;&gt;"",IF(D89&lt;Parametros!$B$6,"NA alto: cautela tubulao a ceu aberto. ",""),"")&amp;IF(H89="PROFUNDA",IF(F89="Sim","Vizinhanca sensivel: evitar cravacao. ",""),"")&amp;IF(H89="ZONA CINZENTA","Decisao do projetista; desempate pelo custo da falha. ","")&amp;IF(E89="alta","Carga alta: dimensionamento pelo projetista. ","")))</f>
        <v/>
      </c>
    </row>
    <row r="90">
      <c r="A90" s="12" t="n"/>
      <c r="B90" s="13" t="n"/>
      <c r="C90" s="14" t="n"/>
      <c r="D90" s="14" t="n"/>
      <c r="E90" s="12" t="n"/>
      <c r="F90" s="12" t="n"/>
      <c r="G90" s="12" t="n"/>
      <c r="H90" s="12">
        <f>IF(OR(C90="",E90=""),"",IF(AND(C90&lt;=Parametros!$B$4,E90&lt;&gt;"alta"),"RASA",IF(OR(C90&gt;=Parametros!$B$5,E90="alta"),"PROFUNDA","ZONA CINZENTA")))</f>
        <v/>
      </c>
      <c r="I90" s="13">
        <f>IF(H90="","",IF(H90="RASA","Sapata (isolada/corrida/associada) ou radier",IF(H90="PROFUNDA",IF(F90="Sim","Estaca helice continua/escavada (sem trepidacao)","Estaca (pre-moldada/helice) ou tubulao*")&amp;IF(G90="Sim","; acesso restrito: raiz/Strauss",""),"Levar ao projetista (decisao final)")))</f>
        <v/>
      </c>
      <c r="J90" s="13">
        <f>IF(H90="","",TRIM(IF(D90&lt;&gt;"",IF(D90&lt;Parametros!$B$6,"NA alto: cautela tubulao a ceu aberto. ",""),"")&amp;IF(H90="PROFUNDA",IF(F90="Sim","Vizinhanca sensivel: evitar cravacao. ",""),"")&amp;IF(H90="ZONA CINZENTA","Decisao do projetista; desempate pelo custo da falha. ","")&amp;IF(E90="alta","Carga alta: dimensionamento pelo projetista. ","")))</f>
        <v/>
      </c>
    </row>
    <row r="91">
      <c r="A91" s="10" t="n"/>
      <c r="B91" s="7" t="n"/>
      <c r="C91" s="11" t="n"/>
      <c r="D91" s="11" t="n"/>
      <c r="E91" s="10" t="n"/>
      <c r="F91" s="10" t="n"/>
      <c r="G91" s="10" t="n"/>
      <c r="H91" s="10">
        <f>IF(OR(C91="",E91=""),"",IF(AND(C91&lt;=Parametros!$B$4,E91&lt;&gt;"alta"),"RASA",IF(OR(C91&gt;=Parametros!$B$5,E91="alta"),"PROFUNDA","ZONA CINZENTA")))</f>
        <v/>
      </c>
      <c r="I91" s="7">
        <f>IF(H91="","",IF(H91="RASA","Sapata (isolada/corrida/associada) ou radier",IF(H91="PROFUNDA",IF(F91="Sim","Estaca helice continua/escavada (sem trepidacao)","Estaca (pre-moldada/helice) ou tubulao*")&amp;IF(G91="Sim","; acesso restrito: raiz/Strauss",""),"Levar ao projetista (decisao final)")))</f>
        <v/>
      </c>
      <c r="J91" s="7">
        <f>IF(H91="","",TRIM(IF(D91&lt;&gt;"",IF(D91&lt;Parametros!$B$6,"NA alto: cautela tubulao a ceu aberto. ",""),"")&amp;IF(H91="PROFUNDA",IF(F91="Sim","Vizinhanca sensivel: evitar cravacao. ",""),"")&amp;IF(H91="ZONA CINZENTA","Decisao do projetista; desempate pelo custo da falha. ","")&amp;IF(E91="alta","Carga alta: dimensionamento pelo projetista. ","")))</f>
        <v/>
      </c>
    </row>
    <row r="92">
      <c r="A92" s="12" t="n"/>
      <c r="B92" s="13" t="n"/>
      <c r="C92" s="14" t="n"/>
      <c r="D92" s="14" t="n"/>
      <c r="E92" s="12" t="n"/>
      <c r="F92" s="12" t="n"/>
      <c r="G92" s="12" t="n"/>
      <c r="H92" s="12">
        <f>IF(OR(C92="",E92=""),"",IF(AND(C92&lt;=Parametros!$B$4,E92&lt;&gt;"alta"),"RASA",IF(OR(C92&gt;=Parametros!$B$5,E92="alta"),"PROFUNDA","ZONA CINZENTA")))</f>
        <v/>
      </c>
      <c r="I92" s="13">
        <f>IF(H92="","",IF(H92="RASA","Sapata (isolada/corrida/associada) ou radier",IF(H92="PROFUNDA",IF(F92="Sim","Estaca helice continua/escavada (sem trepidacao)","Estaca (pre-moldada/helice) ou tubulao*")&amp;IF(G92="Sim","; acesso restrito: raiz/Strauss",""),"Levar ao projetista (decisao final)")))</f>
        <v/>
      </c>
      <c r="J92" s="13">
        <f>IF(H92="","",TRIM(IF(D92&lt;&gt;"",IF(D92&lt;Parametros!$B$6,"NA alto: cautela tubulao a ceu aberto. ",""),"")&amp;IF(H92="PROFUNDA",IF(F92="Sim","Vizinhanca sensivel: evitar cravacao. ",""),"")&amp;IF(H92="ZONA CINZENTA","Decisao do projetista; desempate pelo custo da falha. ","")&amp;IF(E92="alta","Carga alta: dimensionamento pelo projetista. ","")))</f>
        <v/>
      </c>
    </row>
    <row r="93">
      <c r="A93" s="10" t="n"/>
      <c r="B93" s="7" t="n"/>
      <c r="C93" s="11" t="n"/>
      <c r="D93" s="11" t="n"/>
      <c r="E93" s="10" t="n"/>
      <c r="F93" s="10" t="n"/>
      <c r="G93" s="10" t="n"/>
      <c r="H93" s="10">
        <f>IF(OR(C93="",E93=""),"",IF(AND(C93&lt;=Parametros!$B$4,E93&lt;&gt;"alta"),"RASA",IF(OR(C93&gt;=Parametros!$B$5,E93="alta"),"PROFUNDA","ZONA CINZENTA")))</f>
        <v/>
      </c>
      <c r="I93" s="7">
        <f>IF(H93="","",IF(H93="RASA","Sapata (isolada/corrida/associada) ou radier",IF(H93="PROFUNDA",IF(F93="Sim","Estaca helice continua/escavada (sem trepidacao)","Estaca (pre-moldada/helice) ou tubulao*")&amp;IF(G93="Sim","; acesso restrito: raiz/Strauss",""),"Levar ao projetista (decisao final)")))</f>
        <v/>
      </c>
      <c r="J93" s="7">
        <f>IF(H93="","",TRIM(IF(D93&lt;&gt;"",IF(D93&lt;Parametros!$B$6,"NA alto: cautela tubulao a ceu aberto. ",""),"")&amp;IF(H93="PROFUNDA",IF(F93="Sim","Vizinhanca sensivel: evitar cravacao. ",""),"")&amp;IF(H93="ZONA CINZENTA","Decisao do projetista; desempate pelo custo da falha. ","")&amp;IF(E93="alta","Carga alta: dimensionamento pelo projetista. ","")))</f>
        <v/>
      </c>
    </row>
    <row r="94">
      <c r="A94" s="12" t="n"/>
      <c r="B94" s="13" t="n"/>
      <c r="C94" s="14" t="n"/>
      <c r="D94" s="14" t="n"/>
      <c r="E94" s="12" t="n"/>
      <c r="F94" s="12" t="n"/>
      <c r="G94" s="12" t="n"/>
      <c r="H94" s="12">
        <f>IF(OR(C94="",E94=""),"",IF(AND(C94&lt;=Parametros!$B$4,E94&lt;&gt;"alta"),"RASA",IF(OR(C94&gt;=Parametros!$B$5,E94="alta"),"PROFUNDA","ZONA CINZENTA")))</f>
        <v/>
      </c>
      <c r="I94" s="13">
        <f>IF(H94="","",IF(H94="RASA","Sapata (isolada/corrida/associada) ou radier",IF(H94="PROFUNDA",IF(F94="Sim","Estaca helice continua/escavada (sem trepidacao)","Estaca (pre-moldada/helice) ou tubulao*")&amp;IF(G94="Sim","; acesso restrito: raiz/Strauss",""),"Levar ao projetista (decisao final)")))</f>
        <v/>
      </c>
      <c r="J94" s="13">
        <f>IF(H94="","",TRIM(IF(D94&lt;&gt;"",IF(D94&lt;Parametros!$B$6,"NA alto: cautela tubulao a ceu aberto. ",""),"")&amp;IF(H94="PROFUNDA",IF(F94="Sim","Vizinhanca sensivel: evitar cravacao. ",""),"")&amp;IF(H94="ZONA CINZENTA","Decisao do projetista; desempate pelo custo da falha. ","")&amp;IF(E94="alta","Carga alta: dimensionamento pelo projetista. ","")))</f>
        <v/>
      </c>
    </row>
    <row r="95">
      <c r="A95" s="10" t="n"/>
      <c r="B95" s="7" t="n"/>
      <c r="C95" s="11" t="n"/>
      <c r="D95" s="11" t="n"/>
      <c r="E95" s="10" t="n"/>
      <c r="F95" s="10" t="n"/>
      <c r="G95" s="10" t="n"/>
      <c r="H95" s="10">
        <f>IF(OR(C95="",E95=""),"",IF(AND(C95&lt;=Parametros!$B$4,E95&lt;&gt;"alta"),"RASA",IF(OR(C95&gt;=Parametros!$B$5,E95="alta"),"PROFUNDA","ZONA CINZENTA")))</f>
        <v/>
      </c>
      <c r="I95" s="7">
        <f>IF(H95="","",IF(H95="RASA","Sapata (isolada/corrida/associada) ou radier",IF(H95="PROFUNDA",IF(F95="Sim","Estaca helice continua/escavada (sem trepidacao)","Estaca (pre-moldada/helice) ou tubulao*")&amp;IF(G95="Sim","; acesso restrito: raiz/Strauss",""),"Levar ao projetista (decisao final)")))</f>
        <v/>
      </c>
      <c r="J95" s="7">
        <f>IF(H95="","",TRIM(IF(D95&lt;&gt;"",IF(D95&lt;Parametros!$B$6,"NA alto: cautela tubulao a ceu aberto. ",""),"")&amp;IF(H95="PROFUNDA",IF(F95="Sim","Vizinhanca sensivel: evitar cravacao. ",""),"")&amp;IF(H95="ZONA CINZENTA","Decisao do projetista; desempate pelo custo da falha. ","")&amp;IF(E95="alta","Carga alta: dimensionamento pelo projetista. ","")))</f>
        <v/>
      </c>
    </row>
    <row r="96">
      <c r="A96" s="12" t="n"/>
      <c r="B96" s="13" t="n"/>
      <c r="C96" s="14" t="n"/>
      <c r="D96" s="14" t="n"/>
      <c r="E96" s="12" t="n"/>
      <c r="F96" s="12" t="n"/>
      <c r="G96" s="12" t="n"/>
      <c r="H96" s="12">
        <f>IF(OR(C96="",E96=""),"",IF(AND(C96&lt;=Parametros!$B$4,E96&lt;&gt;"alta"),"RASA",IF(OR(C96&gt;=Parametros!$B$5,E96="alta"),"PROFUNDA","ZONA CINZENTA")))</f>
        <v/>
      </c>
      <c r="I96" s="13">
        <f>IF(H96="","",IF(H96="RASA","Sapata (isolada/corrida/associada) ou radier",IF(H96="PROFUNDA",IF(F96="Sim","Estaca helice continua/escavada (sem trepidacao)","Estaca (pre-moldada/helice) ou tubulao*")&amp;IF(G96="Sim","; acesso restrito: raiz/Strauss",""),"Levar ao projetista (decisao final)")))</f>
        <v/>
      </c>
      <c r="J96" s="13">
        <f>IF(H96="","",TRIM(IF(D96&lt;&gt;"",IF(D96&lt;Parametros!$B$6,"NA alto: cautela tubulao a ceu aberto. ",""),"")&amp;IF(H96="PROFUNDA",IF(F96="Sim","Vizinhanca sensivel: evitar cravacao. ",""),"")&amp;IF(H96="ZONA CINZENTA","Decisao do projetista; desempate pelo custo da falha. ","")&amp;IF(E96="alta","Carga alta: dimensionamento pelo projetista. ","")))</f>
        <v/>
      </c>
    </row>
    <row r="97">
      <c r="A97" s="10" t="n"/>
      <c r="B97" s="7" t="n"/>
      <c r="C97" s="11" t="n"/>
      <c r="D97" s="11" t="n"/>
      <c r="E97" s="10" t="n"/>
      <c r="F97" s="10" t="n"/>
      <c r="G97" s="10" t="n"/>
      <c r="H97" s="10">
        <f>IF(OR(C97="",E97=""),"",IF(AND(C97&lt;=Parametros!$B$4,E97&lt;&gt;"alta"),"RASA",IF(OR(C97&gt;=Parametros!$B$5,E97="alta"),"PROFUNDA","ZONA CINZENTA")))</f>
        <v/>
      </c>
      <c r="I97" s="7">
        <f>IF(H97="","",IF(H97="RASA","Sapata (isolada/corrida/associada) ou radier",IF(H97="PROFUNDA",IF(F97="Sim","Estaca helice continua/escavada (sem trepidacao)","Estaca (pre-moldada/helice) ou tubulao*")&amp;IF(G97="Sim","; acesso restrito: raiz/Strauss",""),"Levar ao projetista (decisao final)")))</f>
        <v/>
      </c>
      <c r="J97" s="7">
        <f>IF(H97="","",TRIM(IF(D97&lt;&gt;"",IF(D97&lt;Parametros!$B$6,"NA alto: cautela tubulao a ceu aberto. ",""),"")&amp;IF(H97="PROFUNDA",IF(F97="Sim","Vizinhanca sensivel: evitar cravacao. ",""),"")&amp;IF(H97="ZONA CINZENTA","Decisao do projetista; desempate pelo custo da falha. ","")&amp;IF(E97="alta","Carga alta: dimensionamento pelo projetista. ","")))</f>
        <v/>
      </c>
    </row>
    <row r="98">
      <c r="A98" s="12" t="n"/>
      <c r="B98" s="13" t="n"/>
      <c r="C98" s="14" t="n"/>
      <c r="D98" s="14" t="n"/>
      <c r="E98" s="12" t="n"/>
      <c r="F98" s="12" t="n"/>
      <c r="G98" s="12" t="n"/>
      <c r="H98" s="12">
        <f>IF(OR(C98="",E98=""),"",IF(AND(C98&lt;=Parametros!$B$4,E98&lt;&gt;"alta"),"RASA",IF(OR(C98&gt;=Parametros!$B$5,E98="alta"),"PROFUNDA","ZONA CINZENTA")))</f>
        <v/>
      </c>
      <c r="I98" s="13">
        <f>IF(H98="","",IF(H98="RASA","Sapata (isolada/corrida/associada) ou radier",IF(H98="PROFUNDA",IF(F98="Sim","Estaca helice continua/escavada (sem trepidacao)","Estaca (pre-moldada/helice) ou tubulao*")&amp;IF(G98="Sim","; acesso restrito: raiz/Strauss",""),"Levar ao projetista (decisao final)")))</f>
        <v/>
      </c>
      <c r="J98" s="13">
        <f>IF(H98="","",TRIM(IF(D98&lt;&gt;"",IF(D98&lt;Parametros!$B$6,"NA alto: cautela tubulao a ceu aberto. ",""),"")&amp;IF(H98="PROFUNDA",IF(F98="Sim","Vizinhanca sensivel: evitar cravacao. ",""),"")&amp;IF(H98="ZONA CINZENTA","Decisao do projetista; desempate pelo custo da falha. ","")&amp;IF(E98="alta","Carga alta: dimensionamento pelo projetista. ","")))</f>
        <v/>
      </c>
    </row>
    <row r="99">
      <c r="A99" s="10" t="n"/>
      <c r="B99" s="7" t="n"/>
      <c r="C99" s="11" t="n"/>
      <c r="D99" s="11" t="n"/>
      <c r="E99" s="10" t="n"/>
      <c r="F99" s="10" t="n"/>
      <c r="G99" s="10" t="n"/>
      <c r="H99" s="10">
        <f>IF(OR(C99="",E99=""),"",IF(AND(C99&lt;=Parametros!$B$4,E99&lt;&gt;"alta"),"RASA",IF(OR(C99&gt;=Parametros!$B$5,E99="alta"),"PROFUNDA","ZONA CINZENTA")))</f>
        <v/>
      </c>
      <c r="I99" s="7">
        <f>IF(H99="","",IF(H99="RASA","Sapata (isolada/corrida/associada) ou radier",IF(H99="PROFUNDA",IF(F99="Sim","Estaca helice continua/escavada (sem trepidacao)","Estaca (pre-moldada/helice) ou tubulao*")&amp;IF(G99="Sim","; acesso restrito: raiz/Strauss",""),"Levar ao projetista (decisao final)")))</f>
        <v/>
      </c>
      <c r="J99" s="7">
        <f>IF(H99="","",TRIM(IF(D99&lt;&gt;"",IF(D99&lt;Parametros!$B$6,"NA alto: cautela tubulao a ceu aberto. ",""),"")&amp;IF(H99="PROFUNDA",IF(F99="Sim","Vizinhanca sensivel: evitar cravacao. ",""),"")&amp;IF(H99="ZONA CINZENTA","Decisao do projetista; desempate pelo custo da falha. ","")&amp;IF(E99="alta","Carga alta: dimensionamento pelo projetista. ","")))</f>
        <v/>
      </c>
    </row>
    <row r="100">
      <c r="A100" s="12" t="n"/>
      <c r="B100" s="13" t="n"/>
      <c r="C100" s="14" t="n"/>
      <c r="D100" s="14" t="n"/>
      <c r="E100" s="12" t="n"/>
      <c r="F100" s="12" t="n"/>
      <c r="G100" s="12" t="n"/>
      <c r="H100" s="12">
        <f>IF(OR(C100="",E100=""),"",IF(AND(C100&lt;=Parametros!$B$4,E100&lt;&gt;"alta"),"RASA",IF(OR(C100&gt;=Parametros!$B$5,E100="alta"),"PROFUNDA","ZONA CINZENTA")))</f>
        <v/>
      </c>
      <c r="I100" s="13">
        <f>IF(H100="","",IF(H100="RASA","Sapata (isolada/corrida/associada) ou radier",IF(H100="PROFUNDA",IF(F100="Sim","Estaca helice continua/escavada (sem trepidacao)","Estaca (pre-moldada/helice) ou tubulao*")&amp;IF(G100="Sim","; acesso restrito: raiz/Strauss",""),"Levar ao projetista (decisao final)")))</f>
        <v/>
      </c>
      <c r="J100" s="13">
        <f>IF(H100="","",TRIM(IF(D100&lt;&gt;"",IF(D100&lt;Parametros!$B$6,"NA alto: cautela tubulao a ceu aberto. ",""),"")&amp;IF(H100="PROFUNDA",IF(F100="Sim","Vizinhanca sensivel: evitar cravacao. ",""),"")&amp;IF(H100="ZONA CINZENTA","Decisao do projetista; desempate pelo custo da falha. ","")&amp;IF(E100="alta","Carga alta: dimensionamento pelo projetista. ","")))</f>
        <v/>
      </c>
    </row>
    <row r="101">
      <c r="A101" s="10" t="n"/>
      <c r="B101" s="7" t="n"/>
      <c r="C101" s="11" t="n"/>
      <c r="D101" s="11" t="n"/>
      <c r="E101" s="10" t="n"/>
      <c r="F101" s="10" t="n"/>
      <c r="G101" s="10" t="n"/>
      <c r="H101" s="10">
        <f>IF(OR(C101="",E101=""),"",IF(AND(C101&lt;=Parametros!$B$4,E101&lt;&gt;"alta"),"RASA",IF(OR(C101&gt;=Parametros!$B$5,E101="alta"),"PROFUNDA","ZONA CINZENTA")))</f>
        <v/>
      </c>
      <c r="I101" s="7">
        <f>IF(H101="","",IF(H101="RASA","Sapata (isolada/corrida/associada) ou radier",IF(H101="PROFUNDA",IF(F101="Sim","Estaca helice continua/escavada (sem trepidacao)","Estaca (pre-moldada/helice) ou tubulao*")&amp;IF(G101="Sim","; acesso restrito: raiz/Strauss",""),"Levar ao projetista (decisao final)")))</f>
        <v/>
      </c>
      <c r="J101" s="7">
        <f>IF(H101="","",TRIM(IF(D101&lt;&gt;"",IF(D101&lt;Parametros!$B$6,"NA alto: cautela tubulao a ceu aberto. ",""),"")&amp;IF(H101="PROFUNDA",IF(F101="Sim","Vizinhanca sensivel: evitar cravacao. ",""),"")&amp;IF(H101="ZONA CINZENTA","Decisao do projetista; desempate pelo custo da falha. ","")&amp;IF(E101="alta","Carga alta: dimensionamento pelo projetista. ","")))</f>
        <v/>
      </c>
    </row>
    <row r="102">
      <c r="A102" s="12" t="n"/>
      <c r="B102" s="13" t="n"/>
      <c r="C102" s="14" t="n"/>
      <c r="D102" s="14" t="n"/>
      <c r="E102" s="12" t="n"/>
      <c r="F102" s="12" t="n"/>
      <c r="G102" s="12" t="n"/>
      <c r="H102" s="12">
        <f>IF(OR(C102="",E102=""),"",IF(AND(C102&lt;=Parametros!$B$4,E102&lt;&gt;"alta"),"RASA",IF(OR(C102&gt;=Parametros!$B$5,E102="alta"),"PROFUNDA","ZONA CINZENTA")))</f>
        <v/>
      </c>
      <c r="I102" s="13">
        <f>IF(H102="","",IF(H102="RASA","Sapata (isolada/corrida/associada) ou radier",IF(H102="PROFUNDA",IF(F102="Sim","Estaca helice continua/escavada (sem trepidacao)","Estaca (pre-moldada/helice) ou tubulao*")&amp;IF(G102="Sim","; acesso restrito: raiz/Strauss",""),"Levar ao projetista (decisao final)")))</f>
        <v/>
      </c>
      <c r="J102" s="13">
        <f>IF(H102="","",TRIM(IF(D102&lt;&gt;"",IF(D102&lt;Parametros!$B$6,"NA alto: cautela tubulao a ceu aberto. ",""),"")&amp;IF(H102="PROFUNDA",IF(F102="Sim","Vizinhanca sensivel: evitar cravacao. ",""),"")&amp;IF(H102="ZONA CINZENTA","Decisao do projetista; desempate pelo custo da falha. ","")&amp;IF(E102="alta","Carga alta: dimensionamento pelo projetista. ","")))</f>
        <v/>
      </c>
    </row>
  </sheetData>
  <mergeCells count="1">
    <mergeCell ref="A1:J1"/>
  </mergeCells>
  <conditionalFormatting sqref="H3:H102">
    <cfRule type="cellIs" priority="1" operator="equal" dxfId="0">
      <formula>"RASA"</formula>
    </cfRule>
    <cfRule type="cellIs" priority="2" operator="equal" dxfId="1">
      <formula>"PROFUNDA"</formula>
    </cfRule>
    <cfRule type="cellIs" priority="3" operator="equal" dxfId="2">
      <formula>"ZONA CINZENTA"</formula>
    </cfRule>
  </conditionalFormatting>
  <dataValidations count="3">
    <dataValidation sqref="E3:E102" showDropDown="0" showInputMessage="1" showErrorMessage="0" allowBlank="1" prompt="Selecione uma opção" type="list">
      <formula1>"leve,media,alta"</formula1>
    </dataValidation>
    <dataValidation sqref="F3:F102" showDropDown="0" showInputMessage="1" showErrorMessage="0" allowBlank="1" prompt="Selecione uma opção" type="list">
      <formula1>"Sim,Nao"</formula1>
    </dataValidation>
    <dataValidation sqref="G3:G102" showDropDown="0" showInputMessage="1" showErrorMessage="0" allowBlank="1" prompt="Selecione uma opção" type="list">
      <formula1>"Sim,Nao"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  <col width="30" customWidth="1" min="4" max="4"/>
    <col width="12" customWidth="1" min="5" max="5"/>
  </cols>
  <sheetData>
    <row r="1" ht="24" customHeight="1">
      <c r="A1" s="1" t="inlineStr">
        <is>
          <t>COMPARADOR DE TIPOS — referência rápida (a validar com o projetista)</t>
        </is>
      </c>
    </row>
    <row r="2">
      <c r="A2" s="15" t="inlineStr">
        <is>
          <t>Tipo</t>
        </is>
      </c>
      <c r="B2" s="15" t="inlineStr">
        <is>
          <t>Família</t>
        </is>
      </c>
      <c r="C2" s="15" t="inlineStr">
        <is>
          <t>Quando entra na conversa</t>
        </is>
      </c>
      <c r="D2" s="15" t="inlineStr">
        <is>
          <t>Cuidado / limite</t>
        </is>
      </c>
      <c r="E2" s="15" t="inlineStr">
        <is>
          <t>Ref.</t>
        </is>
      </c>
    </row>
    <row r="3">
      <c r="A3" s="7" t="inlineStr">
        <is>
          <t>Sapata isolada</t>
        </is>
      </c>
      <c r="B3" s="16" t="inlineStr">
        <is>
          <t>Rasa</t>
        </is>
      </c>
      <c r="C3" s="7" t="inlineStr">
        <is>
          <t>Carga de pilar sobre camada firme rasa</t>
        </is>
      </c>
      <c r="D3" s="7" t="inlineStr">
        <is>
          <t>Recalque se solo mole/heterogêneo</t>
        </is>
      </c>
      <c r="E3" s="7" t="inlineStr">
        <is>
          <t>NBR 6122:2019</t>
        </is>
      </c>
    </row>
    <row r="4">
      <c r="A4" s="13" t="inlineStr">
        <is>
          <t>Sapata corrida</t>
        </is>
      </c>
      <c r="B4" s="16" t="inlineStr">
        <is>
          <t>Rasa</t>
        </is>
      </c>
      <c r="C4" s="13" t="inlineStr">
        <is>
          <t>Cargas de parede/alinhadas</t>
        </is>
      </c>
      <c r="D4" s="13" t="inlineStr">
        <is>
          <t>Idem, exige solo competente raso</t>
        </is>
      </c>
      <c r="E4" s="13" t="inlineStr">
        <is>
          <t>NBR 6122:2019</t>
        </is>
      </c>
    </row>
    <row r="5">
      <c r="A5" s="7" t="inlineStr">
        <is>
          <t>Sapata associada/alavancada</t>
        </is>
      </c>
      <c r="B5" s="16" t="inlineStr">
        <is>
          <t>Rasa</t>
        </is>
      </c>
      <c r="C5" s="7" t="inlineStr">
        <is>
          <t>Pilares na divisa ou muito próximos</t>
        </is>
      </c>
      <c r="D5" s="7" t="inlineStr">
        <is>
          <t>Exige viga de equilíbrio bem dimensionada</t>
        </is>
      </c>
      <c r="E5" s="7" t="inlineStr">
        <is>
          <t>NBR 6122:2019</t>
        </is>
      </c>
    </row>
    <row r="6">
      <c r="A6" s="13" t="inlineStr">
        <is>
          <t>Radier</t>
        </is>
      </c>
      <c r="B6" s="16" t="inlineStr">
        <is>
          <t>Rasa</t>
        </is>
      </c>
      <c r="C6" s="13" t="inlineStr">
        <is>
          <t>Carga distribuída / solo raso uniforme fraco</t>
        </is>
      </c>
      <c r="D6" s="13" t="inlineStr">
        <is>
          <t>Sensível a recalque diferencial; projeto cuidadoso</t>
        </is>
      </c>
      <c r="E6" s="13" t="inlineStr">
        <is>
          <t>NBR 6122:2019</t>
        </is>
      </c>
    </row>
    <row r="7">
      <c r="A7" s="7" t="inlineStr">
        <is>
          <t>Bloco de fundação</t>
        </is>
      </c>
      <c r="B7" s="16" t="inlineStr">
        <is>
          <t>Rasa</t>
        </is>
      </c>
      <c r="C7" s="7" t="inlineStr">
        <is>
          <t>Cargas menores, concreto simples</t>
        </is>
      </c>
      <c r="D7" s="7" t="inlineStr">
        <is>
          <t>Limitado a cargas/solos favoráveis</t>
        </is>
      </c>
      <c r="E7" s="7" t="inlineStr">
        <is>
          <t>NBR 6122:2019</t>
        </is>
      </c>
    </row>
    <row r="8">
      <c r="A8" s="13" t="inlineStr">
        <is>
          <t>Estaca pré-moldada (cravada)</t>
        </is>
      </c>
      <c r="B8" s="17" t="inlineStr">
        <is>
          <t>Profunda</t>
        </is>
      </c>
      <c r="C8" s="13" t="inlineStr">
        <is>
          <t>Boa quando não há restrição de trepidação</t>
        </is>
      </c>
      <c r="D8" s="13" t="inlineStr">
        <is>
          <t>Trepidação/ruído; vizinhança sensível</t>
        </is>
      </c>
      <c r="E8" s="13" t="inlineStr">
        <is>
          <t>NBR 6122:2019</t>
        </is>
      </c>
    </row>
    <row r="9">
      <c r="A9" s="7" t="inlineStr">
        <is>
          <t>Estaca hélice contínua</t>
        </is>
      </c>
      <c r="B9" s="17" t="inlineStr">
        <is>
          <t>Profunda</t>
        </is>
      </c>
      <c r="C9" s="7" t="inlineStr">
        <is>
          <t>Produtividade, sem bate-estaca</t>
        </is>
      </c>
      <c r="D9" s="7" t="inlineStr">
        <is>
          <t>Exige controle de execução/injeção</t>
        </is>
      </c>
      <c r="E9" s="7" t="inlineStr">
        <is>
          <t>NBR 6122:2019</t>
        </is>
      </c>
    </row>
    <row r="10">
      <c r="A10" s="13" t="inlineStr">
        <is>
          <t>Estaca escavada</t>
        </is>
      </c>
      <c r="B10" s="17" t="inlineStr">
        <is>
          <t>Profunda</t>
        </is>
      </c>
      <c r="C10" s="13" t="inlineStr">
        <is>
          <t>Sem impacto; cargas variadas</t>
        </is>
      </c>
      <c r="D10" s="13" t="inlineStr">
        <is>
          <t>Controle de furo; NA pode exigir cuidado</t>
        </is>
      </c>
      <c r="E10" s="13" t="inlineStr">
        <is>
          <t>NBR 6122:2019</t>
        </is>
      </c>
    </row>
    <row r="11">
      <c r="A11" s="7" t="inlineStr">
        <is>
          <t>Estaca Strauss</t>
        </is>
      </c>
      <c r="B11" s="17" t="inlineStr">
        <is>
          <t>Profunda</t>
        </is>
      </c>
      <c r="C11" s="7" t="inlineStr">
        <is>
          <t>Cargas menores, equipamento simples</t>
        </is>
      </c>
      <c r="D11" s="7" t="inlineStr">
        <is>
          <t>Limites de carga/comprimento; NA</t>
        </is>
      </c>
      <c r="E11" s="7" t="inlineStr">
        <is>
          <t>NBR 6122:2019</t>
        </is>
      </c>
    </row>
    <row r="12">
      <c r="A12" s="13" t="inlineStr">
        <is>
          <t>Estaca Franki</t>
        </is>
      </c>
      <c r="B12" s="17" t="inlineStr">
        <is>
          <t>Profunda</t>
        </is>
      </c>
      <c r="C12" s="13" t="inlineStr">
        <is>
          <t>Boa capacidade de ponta</t>
        </is>
      </c>
      <c r="D12" s="13" t="inlineStr">
        <is>
          <t>Trepidação; vizinhança sensível</t>
        </is>
      </c>
      <c r="E12" s="13" t="inlineStr">
        <is>
          <t>NBR 6122:2019</t>
        </is>
      </c>
    </row>
    <row r="13">
      <c r="A13" s="7" t="inlineStr">
        <is>
          <t>Estaca raiz</t>
        </is>
      </c>
      <c r="B13" s="17" t="inlineStr">
        <is>
          <t>Profunda</t>
        </is>
      </c>
      <c r="C13" s="7" t="inlineStr">
        <is>
          <t>Espaço confinado, reforço, acesso restrito</t>
        </is>
      </c>
      <c r="D13" s="7" t="inlineStr">
        <is>
          <t>Custo; execução especializada</t>
        </is>
      </c>
      <c r="E13" s="7" t="inlineStr">
        <is>
          <t>NBR 6122:2019</t>
        </is>
      </c>
    </row>
    <row r="14">
      <c r="A14" s="13" t="inlineStr">
        <is>
          <t>Estaca metálica</t>
        </is>
      </c>
      <c r="B14" s="17" t="inlineStr">
        <is>
          <t>Profunda</t>
        </is>
      </c>
      <c r="C14" s="13" t="inlineStr">
        <is>
          <t>Cravação com controle, cargas altas</t>
        </is>
      </c>
      <c r="D14" s="13" t="inlineStr">
        <is>
          <t>Custo do aço; proteção à corrosão</t>
        </is>
      </c>
      <c r="E14" s="13" t="inlineStr">
        <is>
          <t>NBR 6122:2019</t>
        </is>
      </c>
    </row>
    <row r="15">
      <c r="A15" s="7" t="inlineStr">
        <is>
          <t>Tubulão a céu aberto</t>
        </is>
      </c>
      <c r="B15" s="17" t="inlineStr">
        <is>
          <t>Profunda</t>
        </is>
      </c>
      <c r="C15" s="7" t="inlineStr">
        <is>
          <t>Cargas altas sem NA elevado</t>
        </is>
      </c>
      <c r="D15" s="7" t="inlineStr">
        <is>
          <t>NA alto inviabiliza / exige ar comprimido</t>
        </is>
      </c>
      <c r="E15" s="7" t="inlineStr">
        <is>
          <t>NBR 6122:2019</t>
        </is>
      </c>
    </row>
    <row r="16">
      <c r="A16" s="13" t="inlineStr">
        <is>
          <t>Tubulão a ar comprimido</t>
        </is>
      </c>
      <c r="B16" s="17" t="inlineStr">
        <is>
          <t>Profunda</t>
        </is>
      </c>
      <c r="C16" s="13" t="inlineStr">
        <is>
          <t>Cargas altas com NA</t>
        </is>
      </c>
      <c r="D16" s="13" t="inlineStr">
        <is>
          <t>Segurança do trabalho sob ar comprimido</t>
        </is>
      </c>
      <c r="E16" s="13" t="inlineStr">
        <is>
          <t>NBR 6122:2019 / NR</t>
        </is>
      </c>
    </row>
    <row r="18">
      <c r="A18" s="8" t="inlineStr">
        <is>
          <t>Referência de triagem — não substitui o projeto de fundações. Revisado e assinado por Gustavo Domingos, CREA-PR 140.964-D.</t>
        </is>
      </c>
    </row>
  </sheetData>
  <mergeCells count="2">
    <mergeCell ref="A1:E1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0" customWidth="1" min="5" max="5"/>
  </cols>
  <sheetData>
    <row r="1" ht="26" customHeight="1">
      <c r="A1" s="1" t="inlineStr">
        <is>
          <t>DASHBOARD — Triagem de Fundações</t>
        </is>
      </c>
    </row>
    <row r="3">
      <c r="A3" s="18" t="inlineStr">
        <is>
          <t>Casos analisados</t>
        </is>
      </c>
      <c r="B3" s="18" t="inlineStr">
        <is>
          <t>RASA</t>
        </is>
      </c>
      <c r="C3" s="18" t="inlineStr">
        <is>
          <t>PROFUNDA</t>
        </is>
      </c>
      <c r="D3" s="18" t="inlineStr">
        <is>
          <t>ZONA CINZENTA</t>
        </is>
      </c>
    </row>
    <row r="4">
      <c r="A4" s="19">
        <f>COUNTA(Seletor!B3:B102)</f>
        <v/>
      </c>
      <c r="B4" s="20">
        <f>COUNTIF(Seletor!H3:H102,"RASA")</f>
        <v/>
      </c>
      <c r="C4" s="21">
        <f>COUNTIF(Seletor!H3:H102,"PROFUNDA")</f>
        <v/>
      </c>
      <c r="D4" s="22">
        <f>COUNTIF(Seletor!H3:H102,"ZONA CINZENTA")</f>
        <v/>
      </c>
    </row>
    <row r="6">
      <c r="A6" s="23" t="inlineStr">
        <is>
          <t>Como usar: preencha o Seletor (uma linha por apoio/situação). Família, tipos candidatos e alerta são calculados a partir dos Parametros. TODA escolha é uma triagem — a decisão e o dimensionamento finais são do projetista de fundações (NBR 6122:2019).</t>
        </is>
      </c>
    </row>
    <row r="7"/>
    <row r="8"/>
    <row r="10">
      <c r="A10" s="24" t="inlineStr">
        <is>
          <t>Revisado e assinado por Gustavo Domingos — Engenheiro Civil, CREA-PR 140.964-D</t>
        </is>
      </c>
    </row>
  </sheetData>
  <mergeCells count="2">
    <mergeCell ref="A1:E1"/>
    <mergeCell ref="A6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2026-07-17T18:50:56Z</dcterms:created>
  <dcterms:modified xmlns:dcterms="http://purl.org/dc/terms/" xmlns:xsi="http://www.w3.org/2001/XMLSchema-instance" xsi:type="dcterms:W3CDTF">2026-07-17T18:50:56Z</dcterms:modified>
</cp:coreProperties>
</file>