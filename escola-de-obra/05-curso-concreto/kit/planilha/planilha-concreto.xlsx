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ros" sheetId="1" state="visible" r:id="rId1"/>
    <sheet xmlns:r="http://schemas.openxmlformats.org/officeDocument/2006/relationships" name="Recebimento" sheetId="2" state="visible" r:id="rId2"/>
    <sheet xmlns:r="http://schemas.openxmlformats.org/officeDocument/2006/relationships" name="CPs" sheetId="3" state="visible" r:id="rId3"/>
    <sheet xmlns:r="http://schemas.openxmlformats.org/officeDocument/2006/relationships" name="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hh:mm"/>
    <numFmt numFmtId="165" formatCode="dd/mm/yyyy"/>
    <numFmt numFmtId="166" formatCode="0.0"/>
  </numFmts>
  <fonts count="8">
    <font>
      <name val="Calibri"/>
      <family val="2"/>
      <color theme="1"/>
      <sz val="11"/>
      <scheme val="minor"/>
    </font>
    <font>
      <name val="Georgia"/>
      <b val="1"/>
      <color rgb="00F5EFE0"/>
      <sz val="15"/>
    </font>
    <font>
      <name val="Calibri"/>
      <b val="1"/>
      <color rgb="00F5EFE0"/>
      <sz val="10"/>
    </font>
    <font>
      <name val="Calibri"/>
      <b val="1"/>
      <color rgb="000E3A34"/>
      <sz val="10"/>
    </font>
    <font>
      <name val="Calibri"/>
      <color rgb="0020211E"/>
      <sz val="10"/>
    </font>
    <font>
      <name val="Calibri"/>
      <i val="1"/>
      <color rgb="006B6B63"/>
      <sz val="8.5"/>
    </font>
    <font>
      <name val="Georgia"/>
      <b val="1"/>
      <color rgb="000E3A34"/>
      <sz val="18"/>
    </font>
    <font>
      <name val="Calibri"/>
      <b val="1"/>
      <color rgb="00C9A24B"/>
      <sz val="9"/>
    </font>
  </fonts>
  <fills count="9">
    <fill>
      <patternFill/>
    </fill>
    <fill>
      <patternFill patternType="gray125"/>
    </fill>
    <fill>
      <patternFill patternType="solid">
        <fgColor rgb="000E3A34"/>
      </patternFill>
    </fill>
    <fill>
      <patternFill patternType="solid">
        <fgColor rgb="001C5A4E"/>
      </patternFill>
    </fill>
    <fill>
      <patternFill patternType="solid">
        <fgColor rgb="00C9A24B"/>
      </patternFill>
    </fill>
    <fill>
      <patternFill patternType="solid">
        <fgColor rgb="00FBF8F0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D2BE"/>
      </left>
      <right style="thin">
        <color rgb="00D9D2BE"/>
      </right>
      <top style="thin">
        <color rgb="00D9D2BE"/>
      </top>
      <bottom style="thin">
        <color rgb="00D9D2BE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center" vertical="center" wrapText="1"/>
    </xf>
    <xf numFmtId="166" fontId="4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0" borderId="0" pivotButton="0" quotePrefix="0" xfId="0"/>
  </cellXfs>
  <cellStyles count="1">
    <cellStyle name="Normal" xfId="0" builtinId="0" hidden="0"/>
  </cellStyles>
  <dxfs count="3">
    <dxf>
      <font>
        <b val="1"/>
        <color rgb="001b4d1f"/>
      </font>
      <fill>
        <patternFill patternType="solid">
          <fgColor rgb="00D9EAD3"/>
        </patternFill>
      </fill>
    </dxf>
    <dxf>
      <font>
        <b val="1"/>
        <color rgb="009C6500"/>
      </font>
      <fill>
        <patternFill patternType="solid">
          <fgColor rgb="00FFF2CC"/>
        </patternFill>
      </fill>
    </dxf>
    <dxf>
      <font>
        <b val="1"/>
        <color rgb="007f1d1d"/>
      </font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48" customWidth="1" min="3" max="3"/>
  </cols>
  <sheetData>
    <row r="1" ht="26" customHeight="1">
      <c r="A1" s="1" t="inlineStr">
        <is>
          <t>PARÂMETROS DO CONTROLE — ajuste conforme o pedido e assine</t>
        </is>
      </c>
    </row>
    <row r="3">
      <c r="A3" s="2" t="inlineStr">
        <is>
          <t>Parâmetro</t>
        </is>
      </c>
      <c r="B3" s="2" t="inlineStr">
        <is>
          <t>Valor</t>
        </is>
      </c>
      <c r="C3" s="2" t="inlineStr">
        <is>
          <t>Observação / fonte</t>
        </is>
      </c>
    </row>
    <row r="4">
      <c r="A4" s="3" t="inlineStr">
        <is>
          <t>Slump pedido (mm)</t>
        </is>
      </c>
      <c r="B4" s="4" t="n">
        <v>100</v>
      </c>
      <c r="C4" s="5" t="inlineStr">
        <is>
          <t>Conforme pedido/projeto. Confira na nota fiscal.</t>
        </is>
      </c>
    </row>
    <row r="5">
      <c r="A5" s="3" t="inlineStr">
        <is>
          <t>Tolerância de slump (± mm)</t>
        </is>
      </c>
      <c r="B5" s="4" t="n">
        <v>20</v>
      </c>
      <c r="C5" s="5" t="inlineStr">
        <is>
          <t>Faixa da NBR 7212:2021 conforme o slump pedido. [VALIDAR F4]</t>
        </is>
      </c>
    </row>
    <row r="6">
      <c r="A6" s="3" t="inlineStr">
        <is>
          <t>Tempo-limite descarga (min)</t>
        </is>
      </c>
      <c r="B6" s="4" t="n">
        <v>150</v>
      </c>
      <c r="C6" s="5" t="inlineStr">
        <is>
          <t>Da adição da água ao fim da descarga (NBR 7212:2021; aditivos podem alterar). [VALIDAR F2]</t>
        </is>
      </c>
    </row>
    <row r="7">
      <c r="A7" s="3" t="inlineStr">
        <is>
          <t>fck de projeto (MPa)</t>
        </is>
      </c>
      <c r="B7" s="4" t="n">
        <v>30</v>
      </c>
      <c r="C7" s="5" t="inlineStr">
        <is>
          <t>Conforme projeto estrutural (classe NBR 8953).</t>
        </is>
      </c>
    </row>
    <row r="9">
      <c r="A9" s="6" t="inlineStr">
        <is>
          <t>⚠ A aceitação definitiva do concreto segue os critérios estatísticos da NBR 12655:2022 — a coluna 'situação' da aba CPs é uma triagem de alerta, não o critério final. [VALIDAR F7]</t>
        </is>
      </c>
    </row>
    <row r="10"/>
  </sheetData>
  <mergeCells count="2">
    <mergeCell ref="A1:D1"/>
    <mergeCell ref="A9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6" customWidth="1" min="10" max="10"/>
    <col width="16" customWidth="1" min="11" max="11"/>
    <col width="24" customWidth="1" min="12" max="12"/>
  </cols>
  <sheetData>
    <row r="1" ht="24" customHeight="1">
      <c r="A1" s="1" t="inlineStr">
        <is>
          <t>RECEBIMENTO — uma linha por caminhão (aceitação provisória, NBR 12655:2022/7212/16889)</t>
        </is>
      </c>
    </row>
    <row r="2" ht="30" customHeight="1">
      <c r="A2" s="7" t="inlineStr">
        <is>
          <t>Data</t>
        </is>
      </c>
      <c r="B2" s="7" t="inlineStr">
        <is>
          <t>NF nº</t>
        </is>
      </c>
      <c r="C2" s="7" t="inlineStr">
        <is>
          <t>Hora água (central)</t>
        </is>
      </c>
      <c r="D2" s="7" t="inlineStr">
        <is>
          <t>Fim descarga</t>
        </is>
      </c>
      <c r="E2" s="7" t="inlineStr">
        <is>
          <t>Tempo decorrido (min)</t>
        </is>
      </c>
      <c r="F2" s="7" t="inlineStr">
        <is>
          <t>Slump medido (mm)</t>
        </is>
      </c>
      <c r="G2" s="7" t="inlineStr">
        <is>
          <t>Nota confere?</t>
        </is>
      </c>
      <c r="H2" s="7" t="inlineStr">
        <is>
          <t>Aspecto normal?</t>
        </is>
      </c>
      <c r="I2" s="7" t="inlineStr">
        <is>
          <t>Água adicionada?</t>
        </is>
      </c>
      <c r="J2" s="7" t="inlineStr">
        <is>
          <t>Veredito</t>
        </is>
      </c>
      <c r="K2" s="7" t="inlineStr">
        <is>
          <t>CPs moldados (ids)</t>
        </is>
      </c>
      <c r="L2" s="7" t="inlineStr">
        <is>
          <t>Observações</t>
        </is>
      </c>
    </row>
    <row r="3">
      <c r="A3" s="8" t="n"/>
      <c r="B3" s="9" t="n"/>
      <c r="C3" s="10" t="n"/>
      <c r="D3" s="10" t="n"/>
      <c r="E3" s="9">
        <f>IF(OR(C3="",D3=""),"",ROUND((D3-C3)*1440,0))</f>
        <v/>
      </c>
      <c r="F3" s="9" t="n"/>
      <c r="G3" s="9" t="n"/>
      <c r="H3" s="9" t="n"/>
      <c r="I3" s="9" t="n"/>
      <c r="J3" s="9">
        <f>IF(F3="","",IF(OR(G3="Nao",H3="Nao",I3="Sim"),"RECUSAR/REGISTRAR",IF(AND(E3&lt;&gt;"",E3&gt;Parametros!$B$6),"RECUSAR - tempo",IF(ABS(F3-Parametros!$B$4)&lt;=Parametros!$B$5,"LIBERADO",IF(F3&lt;Parametros!$B$4,"CORRIGIR VIA CENTRAL","RECUSAR - fluido")))))</f>
        <v/>
      </c>
      <c r="K3" s="11" t="n"/>
      <c r="L3" s="11" t="n"/>
    </row>
    <row r="4">
      <c r="A4" s="12" t="n"/>
      <c r="B4" s="13" t="n"/>
      <c r="C4" s="14" t="n"/>
      <c r="D4" s="14" t="n"/>
      <c r="E4" s="13">
        <f>IF(OR(C4="",D4=""),"",ROUND((D4-C4)*1440,0))</f>
        <v/>
      </c>
      <c r="F4" s="13" t="n"/>
      <c r="G4" s="13" t="n"/>
      <c r="H4" s="13" t="n"/>
      <c r="I4" s="13" t="n"/>
      <c r="J4" s="13">
        <f>IF(F4="","",IF(OR(G4="Nao",H4="Nao",I4="Sim"),"RECUSAR/REGISTRAR",IF(AND(E4&lt;&gt;"",E4&gt;Parametros!$B$6),"RECUSAR - tempo",IF(ABS(F4-Parametros!$B$4)&lt;=Parametros!$B$5,"LIBERADO",IF(F4&lt;Parametros!$B$4,"CORRIGIR VIA CENTRAL","RECUSAR - fluido")))))</f>
        <v/>
      </c>
      <c r="K4" s="15" t="n"/>
      <c r="L4" s="15" t="n"/>
    </row>
    <row r="5">
      <c r="A5" s="8" t="n"/>
      <c r="B5" s="9" t="n"/>
      <c r="C5" s="10" t="n"/>
      <c r="D5" s="10" t="n"/>
      <c r="E5" s="9">
        <f>IF(OR(C5="",D5=""),"",ROUND((D5-C5)*1440,0))</f>
        <v/>
      </c>
      <c r="F5" s="9" t="n"/>
      <c r="G5" s="9" t="n"/>
      <c r="H5" s="9" t="n"/>
      <c r="I5" s="9" t="n"/>
      <c r="J5" s="9">
        <f>IF(F5="","",IF(OR(G5="Nao",H5="Nao",I5="Sim"),"RECUSAR/REGISTRAR",IF(AND(E5&lt;&gt;"",E5&gt;Parametros!$B$6),"RECUSAR - tempo",IF(ABS(F5-Parametros!$B$4)&lt;=Parametros!$B$5,"LIBERADO",IF(F5&lt;Parametros!$B$4,"CORRIGIR VIA CENTRAL","RECUSAR - fluido")))))</f>
        <v/>
      </c>
      <c r="K5" s="11" t="n"/>
      <c r="L5" s="11" t="n"/>
    </row>
    <row r="6">
      <c r="A6" s="12" t="n"/>
      <c r="B6" s="13" t="n"/>
      <c r="C6" s="14" t="n"/>
      <c r="D6" s="14" t="n"/>
      <c r="E6" s="13">
        <f>IF(OR(C6="",D6=""),"",ROUND((D6-C6)*1440,0))</f>
        <v/>
      </c>
      <c r="F6" s="13" t="n"/>
      <c r="G6" s="13" t="n"/>
      <c r="H6" s="13" t="n"/>
      <c r="I6" s="13" t="n"/>
      <c r="J6" s="13">
        <f>IF(F6="","",IF(OR(G6="Nao",H6="Nao",I6="Sim"),"RECUSAR/REGISTRAR",IF(AND(E6&lt;&gt;"",E6&gt;Parametros!$B$6),"RECUSAR - tempo",IF(ABS(F6-Parametros!$B$4)&lt;=Parametros!$B$5,"LIBERADO",IF(F6&lt;Parametros!$B$4,"CORRIGIR VIA CENTRAL","RECUSAR - fluido")))))</f>
        <v/>
      </c>
      <c r="K6" s="15" t="n"/>
      <c r="L6" s="15" t="n"/>
    </row>
    <row r="7">
      <c r="A7" s="8" t="n"/>
      <c r="B7" s="9" t="n"/>
      <c r="C7" s="10" t="n"/>
      <c r="D7" s="10" t="n"/>
      <c r="E7" s="9">
        <f>IF(OR(C7="",D7=""),"",ROUND((D7-C7)*1440,0))</f>
        <v/>
      </c>
      <c r="F7" s="9" t="n"/>
      <c r="G7" s="9" t="n"/>
      <c r="H7" s="9" t="n"/>
      <c r="I7" s="9" t="n"/>
      <c r="J7" s="9">
        <f>IF(F7="","",IF(OR(G7="Nao",H7="Nao",I7="Sim"),"RECUSAR/REGISTRAR",IF(AND(E7&lt;&gt;"",E7&gt;Parametros!$B$6),"RECUSAR - tempo",IF(ABS(F7-Parametros!$B$4)&lt;=Parametros!$B$5,"LIBERADO",IF(F7&lt;Parametros!$B$4,"CORRIGIR VIA CENTRAL","RECUSAR - fluido")))))</f>
        <v/>
      </c>
      <c r="K7" s="11" t="n"/>
      <c r="L7" s="11" t="n"/>
    </row>
    <row r="8">
      <c r="A8" s="12" t="n"/>
      <c r="B8" s="13" t="n"/>
      <c r="C8" s="14" t="n"/>
      <c r="D8" s="14" t="n"/>
      <c r="E8" s="13">
        <f>IF(OR(C8="",D8=""),"",ROUND((D8-C8)*1440,0))</f>
        <v/>
      </c>
      <c r="F8" s="13" t="n"/>
      <c r="G8" s="13" t="n"/>
      <c r="H8" s="13" t="n"/>
      <c r="I8" s="13" t="n"/>
      <c r="J8" s="13">
        <f>IF(F8="","",IF(OR(G8="Nao",H8="Nao",I8="Sim"),"RECUSAR/REGISTRAR",IF(AND(E8&lt;&gt;"",E8&gt;Parametros!$B$6),"RECUSAR - tempo",IF(ABS(F8-Parametros!$B$4)&lt;=Parametros!$B$5,"LIBERADO",IF(F8&lt;Parametros!$B$4,"CORRIGIR VIA CENTRAL","RECUSAR - fluido")))))</f>
        <v/>
      </c>
      <c r="K8" s="15" t="n"/>
      <c r="L8" s="15" t="n"/>
    </row>
    <row r="9">
      <c r="A9" s="8" t="n"/>
      <c r="B9" s="9" t="n"/>
      <c r="C9" s="10" t="n"/>
      <c r="D9" s="10" t="n"/>
      <c r="E9" s="9">
        <f>IF(OR(C9="",D9=""),"",ROUND((D9-C9)*1440,0))</f>
        <v/>
      </c>
      <c r="F9" s="9" t="n"/>
      <c r="G9" s="9" t="n"/>
      <c r="H9" s="9" t="n"/>
      <c r="I9" s="9" t="n"/>
      <c r="J9" s="9">
        <f>IF(F9="","",IF(OR(G9="Nao",H9="Nao",I9="Sim"),"RECUSAR/REGISTRAR",IF(AND(E9&lt;&gt;"",E9&gt;Parametros!$B$6),"RECUSAR - tempo",IF(ABS(F9-Parametros!$B$4)&lt;=Parametros!$B$5,"LIBERADO",IF(F9&lt;Parametros!$B$4,"CORRIGIR VIA CENTRAL","RECUSAR - fluido")))))</f>
        <v/>
      </c>
      <c r="K9" s="11" t="n"/>
      <c r="L9" s="11" t="n"/>
    </row>
    <row r="10">
      <c r="A10" s="12" t="n"/>
      <c r="B10" s="13" t="n"/>
      <c r="C10" s="14" t="n"/>
      <c r="D10" s="14" t="n"/>
      <c r="E10" s="13">
        <f>IF(OR(C10="",D10=""),"",ROUND((D10-C10)*1440,0))</f>
        <v/>
      </c>
      <c r="F10" s="13" t="n"/>
      <c r="G10" s="13" t="n"/>
      <c r="H10" s="13" t="n"/>
      <c r="I10" s="13" t="n"/>
      <c r="J10" s="13">
        <f>IF(F10="","",IF(OR(G10="Nao",H10="Nao",I10="Sim"),"RECUSAR/REGISTRAR",IF(AND(E10&lt;&gt;"",E10&gt;Parametros!$B$6),"RECUSAR - tempo",IF(ABS(F10-Parametros!$B$4)&lt;=Parametros!$B$5,"LIBERADO",IF(F10&lt;Parametros!$B$4,"CORRIGIR VIA CENTRAL","RECUSAR - fluido")))))</f>
        <v/>
      </c>
      <c r="K10" s="15" t="n"/>
      <c r="L10" s="15" t="n"/>
    </row>
    <row r="11">
      <c r="A11" s="8" t="n"/>
      <c r="B11" s="9" t="n"/>
      <c r="C11" s="10" t="n"/>
      <c r="D11" s="10" t="n"/>
      <c r="E11" s="9">
        <f>IF(OR(C11="",D11=""),"",ROUND((D11-C11)*1440,0))</f>
        <v/>
      </c>
      <c r="F11" s="9" t="n"/>
      <c r="G11" s="9" t="n"/>
      <c r="H11" s="9" t="n"/>
      <c r="I11" s="9" t="n"/>
      <c r="J11" s="9">
        <f>IF(F11="","",IF(OR(G11="Nao",H11="Nao",I11="Sim"),"RECUSAR/REGISTRAR",IF(AND(E11&lt;&gt;"",E11&gt;Parametros!$B$6),"RECUSAR - tempo",IF(ABS(F11-Parametros!$B$4)&lt;=Parametros!$B$5,"LIBERADO",IF(F11&lt;Parametros!$B$4,"CORRIGIR VIA CENTRAL","RECUSAR - fluido")))))</f>
        <v/>
      </c>
      <c r="K11" s="11" t="n"/>
      <c r="L11" s="11" t="n"/>
    </row>
    <row r="12">
      <c r="A12" s="12" t="n"/>
      <c r="B12" s="13" t="n"/>
      <c r="C12" s="14" t="n"/>
      <c r="D12" s="14" t="n"/>
      <c r="E12" s="13">
        <f>IF(OR(C12="",D12=""),"",ROUND((D12-C12)*1440,0))</f>
        <v/>
      </c>
      <c r="F12" s="13" t="n"/>
      <c r="G12" s="13" t="n"/>
      <c r="H12" s="13" t="n"/>
      <c r="I12" s="13" t="n"/>
      <c r="J12" s="13">
        <f>IF(F12="","",IF(OR(G12="Nao",H12="Nao",I12="Sim"),"RECUSAR/REGISTRAR",IF(AND(E12&lt;&gt;"",E12&gt;Parametros!$B$6),"RECUSAR - tempo",IF(ABS(F12-Parametros!$B$4)&lt;=Parametros!$B$5,"LIBERADO",IF(F12&lt;Parametros!$B$4,"CORRIGIR VIA CENTRAL","RECUSAR - fluido")))))</f>
        <v/>
      </c>
      <c r="K12" s="15" t="n"/>
      <c r="L12" s="15" t="n"/>
    </row>
    <row r="13">
      <c r="A13" s="8" t="n"/>
      <c r="B13" s="9" t="n"/>
      <c r="C13" s="10" t="n"/>
      <c r="D13" s="10" t="n"/>
      <c r="E13" s="9">
        <f>IF(OR(C13="",D13=""),"",ROUND((D13-C13)*1440,0))</f>
        <v/>
      </c>
      <c r="F13" s="9" t="n"/>
      <c r="G13" s="9" t="n"/>
      <c r="H13" s="9" t="n"/>
      <c r="I13" s="9" t="n"/>
      <c r="J13" s="9">
        <f>IF(F13="","",IF(OR(G13="Nao",H13="Nao",I13="Sim"),"RECUSAR/REGISTRAR",IF(AND(E13&lt;&gt;"",E13&gt;Parametros!$B$6),"RECUSAR - tempo",IF(ABS(F13-Parametros!$B$4)&lt;=Parametros!$B$5,"LIBERADO",IF(F13&lt;Parametros!$B$4,"CORRIGIR VIA CENTRAL","RECUSAR - fluido")))))</f>
        <v/>
      </c>
      <c r="K13" s="11" t="n"/>
      <c r="L13" s="11" t="n"/>
    </row>
    <row r="14">
      <c r="A14" s="12" t="n"/>
      <c r="B14" s="13" t="n"/>
      <c r="C14" s="14" t="n"/>
      <c r="D14" s="14" t="n"/>
      <c r="E14" s="13">
        <f>IF(OR(C14="",D14=""),"",ROUND((D14-C14)*1440,0))</f>
        <v/>
      </c>
      <c r="F14" s="13" t="n"/>
      <c r="G14" s="13" t="n"/>
      <c r="H14" s="13" t="n"/>
      <c r="I14" s="13" t="n"/>
      <c r="J14" s="13">
        <f>IF(F14="","",IF(OR(G14="Nao",H14="Nao",I14="Sim"),"RECUSAR/REGISTRAR",IF(AND(E14&lt;&gt;"",E14&gt;Parametros!$B$6),"RECUSAR - tempo",IF(ABS(F14-Parametros!$B$4)&lt;=Parametros!$B$5,"LIBERADO",IF(F14&lt;Parametros!$B$4,"CORRIGIR VIA CENTRAL","RECUSAR - fluido")))))</f>
        <v/>
      </c>
      <c r="K14" s="15" t="n"/>
      <c r="L14" s="15" t="n"/>
    </row>
    <row r="15">
      <c r="A15" s="8" t="n"/>
      <c r="B15" s="9" t="n"/>
      <c r="C15" s="10" t="n"/>
      <c r="D15" s="10" t="n"/>
      <c r="E15" s="9">
        <f>IF(OR(C15="",D15=""),"",ROUND((D15-C15)*1440,0))</f>
        <v/>
      </c>
      <c r="F15" s="9" t="n"/>
      <c r="G15" s="9" t="n"/>
      <c r="H15" s="9" t="n"/>
      <c r="I15" s="9" t="n"/>
      <c r="J15" s="9">
        <f>IF(F15="","",IF(OR(G15="Nao",H15="Nao",I15="Sim"),"RECUSAR/REGISTRAR",IF(AND(E15&lt;&gt;"",E15&gt;Parametros!$B$6),"RECUSAR - tempo",IF(ABS(F15-Parametros!$B$4)&lt;=Parametros!$B$5,"LIBERADO",IF(F15&lt;Parametros!$B$4,"CORRIGIR VIA CENTRAL","RECUSAR - fluido")))))</f>
        <v/>
      </c>
      <c r="K15" s="11" t="n"/>
      <c r="L15" s="11" t="n"/>
    </row>
    <row r="16">
      <c r="A16" s="12" t="n"/>
      <c r="B16" s="13" t="n"/>
      <c r="C16" s="14" t="n"/>
      <c r="D16" s="14" t="n"/>
      <c r="E16" s="13">
        <f>IF(OR(C16="",D16=""),"",ROUND((D16-C16)*1440,0))</f>
        <v/>
      </c>
      <c r="F16" s="13" t="n"/>
      <c r="G16" s="13" t="n"/>
      <c r="H16" s="13" t="n"/>
      <c r="I16" s="13" t="n"/>
      <c r="J16" s="13">
        <f>IF(F16="","",IF(OR(G16="Nao",H16="Nao",I16="Sim"),"RECUSAR/REGISTRAR",IF(AND(E16&lt;&gt;"",E16&gt;Parametros!$B$6),"RECUSAR - tempo",IF(ABS(F16-Parametros!$B$4)&lt;=Parametros!$B$5,"LIBERADO",IF(F16&lt;Parametros!$B$4,"CORRIGIR VIA CENTRAL","RECUSAR - fluido")))))</f>
        <v/>
      </c>
      <c r="K16" s="15" t="n"/>
      <c r="L16" s="15" t="n"/>
    </row>
    <row r="17">
      <c r="A17" s="8" t="n"/>
      <c r="B17" s="9" t="n"/>
      <c r="C17" s="10" t="n"/>
      <c r="D17" s="10" t="n"/>
      <c r="E17" s="9">
        <f>IF(OR(C17="",D17=""),"",ROUND((D17-C17)*1440,0))</f>
        <v/>
      </c>
      <c r="F17" s="9" t="n"/>
      <c r="G17" s="9" t="n"/>
      <c r="H17" s="9" t="n"/>
      <c r="I17" s="9" t="n"/>
      <c r="J17" s="9">
        <f>IF(F17="","",IF(OR(G17="Nao",H17="Nao",I17="Sim"),"RECUSAR/REGISTRAR",IF(AND(E17&lt;&gt;"",E17&gt;Parametros!$B$6),"RECUSAR - tempo",IF(ABS(F17-Parametros!$B$4)&lt;=Parametros!$B$5,"LIBERADO",IF(F17&lt;Parametros!$B$4,"CORRIGIR VIA CENTRAL","RECUSAR - fluido")))))</f>
        <v/>
      </c>
      <c r="K17" s="11" t="n"/>
      <c r="L17" s="11" t="n"/>
    </row>
    <row r="18">
      <c r="A18" s="12" t="n"/>
      <c r="B18" s="13" t="n"/>
      <c r="C18" s="14" t="n"/>
      <c r="D18" s="14" t="n"/>
      <c r="E18" s="13">
        <f>IF(OR(C18="",D18=""),"",ROUND((D18-C18)*1440,0))</f>
        <v/>
      </c>
      <c r="F18" s="13" t="n"/>
      <c r="G18" s="13" t="n"/>
      <c r="H18" s="13" t="n"/>
      <c r="I18" s="13" t="n"/>
      <c r="J18" s="13">
        <f>IF(F18="","",IF(OR(G18="Nao",H18="Nao",I18="Sim"),"RECUSAR/REGISTRAR",IF(AND(E18&lt;&gt;"",E18&gt;Parametros!$B$6),"RECUSAR - tempo",IF(ABS(F18-Parametros!$B$4)&lt;=Parametros!$B$5,"LIBERADO",IF(F18&lt;Parametros!$B$4,"CORRIGIR VIA CENTRAL","RECUSAR - fluido")))))</f>
        <v/>
      </c>
      <c r="K18" s="15" t="n"/>
      <c r="L18" s="15" t="n"/>
    </row>
    <row r="19">
      <c r="A19" s="8" t="n"/>
      <c r="B19" s="9" t="n"/>
      <c r="C19" s="10" t="n"/>
      <c r="D19" s="10" t="n"/>
      <c r="E19" s="9">
        <f>IF(OR(C19="",D19=""),"",ROUND((D19-C19)*1440,0))</f>
        <v/>
      </c>
      <c r="F19" s="9" t="n"/>
      <c r="G19" s="9" t="n"/>
      <c r="H19" s="9" t="n"/>
      <c r="I19" s="9" t="n"/>
      <c r="J19" s="9">
        <f>IF(F19="","",IF(OR(G19="Nao",H19="Nao",I19="Sim"),"RECUSAR/REGISTRAR",IF(AND(E19&lt;&gt;"",E19&gt;Parametros!$B$6),"RECUSAR - tempo",IF(ABS(F19-Parametros!$B$4)&lt;=Parametros!$B$5,"LIBERADO",IF(F19&lt;Parametros!$B$4,"CORRIGIR VIA CENTRAL","RECUSAR - fluido")))))</f>
        <v/>
      </c>
      <c r="K19" s="11" t="n"/>
      <c r="L19" s="11" t="n"/>
    </row>
    <row r="20">
      <c r="A20" s="12" t="n"/>
      <c r="B20" s="13" t="n"/>
      <c r="C20" s="14" t="n"/>
      <c r="D20" s="14" t="n"/>
      <c r="E20" s="13">
        <f>IF(OR(C20="",D20=""),"",ROUND((D20-C20)*1440,0))</f>
        <v/>
      </c>
      <c r="F20" s="13" t="n"/>
      <c r="G20" s="13" t="n"/>
      <c r="H20" s="13" t="n"/>
      <c r="I20" s="13" t="n"/>
      <c r="J20" s="13">
        <f>IF(F20="","",IF(OR(G20="Nao",H20="Nao",I20="Sim"),"RECUSAR/REGISTRAR",IF(AND(E20&lt;&gt;"",E20&gt;Parametros!$B$6),"RECUSAR - tempo",IF(ABS(F20-Parametros!$B$4)&lt;=Parametros!$B$5,"LIBERADO",IF(F20&lt;Parametros!$B$4,"CORRIGIR VIA CENTRAL","RECUSAR - fluido")))))</f>
        <v/>
      </c>
      <c r="K20" s="15" t="n"/>
      <c r="L20" s="15" t="n"/>
    </row>
    <row r="21">
      <c r="A21" s="8" t="n"/>
      <c r="B21" s="9" t="n"/>
      <c r="C21" s="10" t="n"/>
      <c r="D21" s="10" t="n"/>
      <c r="E21" s="9">
        <f>IF(OR(C21="",D21=""),"",ROUND((D21-C21)*1440,0))</f>
        <v/>
      </c>
      <c r="F21" s="9" t="n"/>
      <c r="G21" s="9" t="n"/>
      <c r="H21" s="9" t="n"/>
      <c r="I21" s="9" t="n"/>
      <c r="J21" s="9">
        <f>IF(F21="","",IF(OR(G21="Nao",H21="Nao",I21="Sim"),"RECUSAR/REGISTRAR",IF(AND(E21&lt;&gt;"",E21&gt;Parametros!$B$6),"RECUSAR - tempo",IF(ABS(F21-Parametros!$B$4)&lt;=Parametros!$B$5,"LIBERADO",IF(F21&lt;Parametros!$B$4,"CORRIGIR VIA CENTRAL","RECUSAR - fluido")))))</f>
        <v/>
      </c>
      <c r="K21" s="11" t="n"/>
      <c r="L21" s="11" t="n"/>
    </row>
    <row r="22">
      <c r="A22" s="12" t="n"/>
      <c r="B22" s="13" t="n"/>
      <c r="C22" s="14" t="n"/>
      <c r="D22" s="14" t="n"/>
      <c r="E22" s="13">
        <f>IF(OR(C22="",D22=""),"",ROUND((D22-C22)*1440,0))</f>
        <v/>
      </c>
      <c r="F22" s="13" t="n"/>
      <c r="G22" s="13" t="n"/>
      <c r="H22" s="13" t="n"/>
      <c r="I22" s="13" t="n"/>
      <c r="J22" s="13">
        <f>IF(F22="","",IF(OR(G22="Nao",H22="Nao",I22="Sim"),"RECUSAR/REGISTRAR",IF(AND(E22&lt;&gt;"",E22&gt;Parametros!$B$6),"RECUSAR - tempo",IF(ABS(F22-Parametros!$B$4)&lt;=Parametros!$B$5,"LIBERADO",IF(F22&lt;Parametros!$B$4,"CORRIGIR VIA CENTRAL","RECUSAR - fluido")))))</f>
        <v/>
      </c>
      <c r="K22" s="15" t="n"/>
      <c r="L22" s="15" t="n"/>
    </row>
    <row r="23">
      <c r="A23" s="8" t="n"/>
      <c r="B23" s="9" t="n"/>
      <c r="C23" s="10" t="n"/>
      <c r="D23" s="10" t="n"/>
      <c r="E23" s="9">
        <f>IF(OR(C23="",D23=""),"",ROUND((D23-C23)*1440,0))</f>
        <v/>
      </c>
      <c r="F23" s="9" t="n"/>
      <c r="G23" s="9" t="n"/>
      <c r="H23" s="9" t="n"/>
      <c r="I23" s="9" t="n"/>
      <c r="J23" s="9">
        <f>IF(F23="","",IF(OR(G23="Nao",H23="Nao",I23="Sim"),"RECUSAR/REGISTRAR",IF(AND(E23&lt;&gt;"",E23&gt;Parametros!$B$6),"RECUSAR - tempo",IF(ABS(F23-Parametros!$B$4)&lt;=Parametros!$B$5,"LIBERADO",IF(F23&lt;Parametros!$B$4,"CORRIGIR VIA CENTRAL","RECUSAR - fluido")))))</f>
        <v/>
      </c>
      <c r="K23" s="11" t="n"/>
      <c r="L23" s="11" t="n"/>
    </row>
    <row r="24">
      <c r="A24" s="12" t="n"/>
      <c r="B24" s="13" t="n"/>
      <c r="C24" s="14" t="n"/>
      <c r="D24" s="14" t="n"/>
      <c r="E24" s="13">
        <f>IF(OR(C24="",D24=""),"",ROUND((D24-C24)*1440,0))</f>
        <v/>
      </c>
      <c r="F24" s="13" t="n"/>
      <c r="G24" s="13" t="n"/>
      <c r="H24" s="13" t="n"/>
      <c r="I24" s="13" t="n"/>
      <c r="J24" s="13">
        <f>IF(F24="","",IF(OR(G24="Nao",H24="Nao",I24="Sim"),"RECUSAR/REGISTRAR",IF(AND(E24&lt;&gt;"",E24&gt;Parametros!$B$6),"RECUSAR - tempo",IF(ABS(F24-Parametros!$B$4)&lt;=Parametros!$B$5,"LIBERADO",IF(F24&lt;Parametros!$B$4,"CORRIGIR VIA CENTRAL","RECUSAR - fluido")))))</f>
        <v/>
      </c>
      <c r="K24" s="15" t="n"/>
      <c r="L24" s="15" t="n"/>
    </row>
    <row r="25">
      <c r="A25" s="8" t="n"/>
      <c r="B25" s="9" t="n"/>
      <c r="C25" s="10" t="n"/>
      <c r="D25" s="10" t="n"/>
      <c r="E25" s="9">
        <f>IF(OR(C25="",D25=""),"",ROUND((D25-C25)*1440,0))</f>
        <v/>
      </c>
      <c r="F25" s="9" t="n"/>
      <c r="G25" s="9" t="n"/>
      <c r="H25" s="9" t="n"/>
      <c r="I25" s="9" t="n"/>
      <c r="J25" s="9">
        <f>IF(F25="","",IF(OR(G25="Nao",H25="Nao",I25="Sim"),"RECUSAR/REGISTRAR",IF(AND(E25&lt;&gt;"",E25&gt;Parametros!$B$6),"RECUSAR - tempo",IF(ABS(F25-Parametros!$B$4)&lt;=Parametros!$B$5,"LIBERADO",IF(F25&lt;Parametros!$B$4,"CORRIGIR VIA CENTRAL","RECUSAR - fluido")))))</f>
        <v/>
      </c>
      <c r="K25" s="11" t="n"/>
      <c r="L25" s="11" t="n"/>
    </row>
    <row r="26">
      <c r="A26" s="12" t="n"/>
      <c r="B26" s="13" t="n"/>
      <c r="C26" s="14" t="n"/>
      <c r="D26" s="14" t="n"/>
      <c r="E26" s="13">
        <f>IF(OR(C26="",D26=""),"",ROUND((D26-C26)*1440,0))</f>
        <v/>
      </c>
      <c r="F26" s="13" t="n"/>
      <c r="G26" s="13" t="n"/>
      <c r="H26" s="13" t="n"/>
      <c r="I26" s="13" t="n"/>
      <c r="J26" s="13">
        <f>IF(F26="","",IF(OR(G26="Nao",H26="Nao",I26="Sim"),"RECUSAR/REGISTRAR",IF(AND(E26&lt;&gt;"",E26&gt;Parametros!$B$6),"RECUSAR - tempo",IF(ABS(F26-Parametros!$B$4)&lt;=Parametros!$B$5,"LIBERADO",IF(F26&lt;Parametros!$B$4,"CORRIGIR VIA CENTRAL","RECUSAR - fluido")))))</f>
        <v/>
      </c>
      <c r="K26" s="15" t="n"/>
      <c r="L26" s="15" t="n"/>
    </row>
    <row r="27">
      <c r="A27" s="8" t="n"/>
      <c r="B27" s="9" t="n"/>
      <c r="C27" s="10" t="n"/>
      <c r="D27" s="10" t="n"/>
      <c r="E27" s="9">
        <f>IF(OR(C27="",D27=""),"",ROUND((D27-C27)*1440,0))</f>
        <v/>
      </c>
      <c r="F27" s="9" t="n"/>
      <c r="G27" s="9" t="n"/>
      <c r="H27" s="9" t="n"/>
      <c r="I27" s="9" t="n"/>
      <c r="J27" s="9">
        <f>IF(F27="","",IF(OR(G27="Nao",H27="Nao",I27="Sim"),"RECUSAR/REGISTRAR",IF(AND(E27&lt;&gt;"",E27&gt;Parametros!$B$6),"RECUSAR - tempo",IF(ABS(F27-Parametros!$B$4)&lt;=Parametros!$B$5,"LIBERADO",IF(F27&lt;Parametros!$B$4,"CORRIGIR VIA CENTRAL","RECUSAR - fluido")))))</f>
        <v/>
      </c>
      <c r="K27" s="11" t="n"/>
      <c r="L27" s="11" t="n"/>
    </row>
    <row r="28">
      <c r="A28" s="12" t="n"/>
      <c r="B28" s="13" t="n"/>
      <c r="C28" s="14" t="n"/>
      <c r="D28" s="14" t="n"/>
      <c r="E28" s="13">
        <f>IF(OR(C28="",D28=""),"",ROUND((D28-C28)*1440,0))</f>
        <v/>
      </c>
      <c r="F28" s="13" t="n"/>
      <c r="G28" s="13" t="n"/>
      <c r="H28" s="13" t="n"/>
      <c r="I28" s="13" t="n"/>
      <c r="J28" s="13">
        <f>IF(F28="","",IF(OR(G28="Nao",H28="Nao",I28="Sim"),"RECUSAR/REGISTRAR",IF(AND(E28&lt;&gt;"",E28&gt;Parametros!$B$6),"RECUSAR - tempo",IF(ABS(F28-Parametros!$B$4)&lt;=Parametros!$B$5,"LIBERADO",IF(F28&lt;Parametros!$B$4,"CORRIGIR VIA CENTRAL","RECUSAR - fluido")))))</f>
        <v/>
      </c>
      <c r="K28" s="15" t="n"/>
      <c r="L28" s="15" t="n"/>
    </row>
    <row r="29">
      <c r="A29" s="8" t="n"/>
      <c r="B29" s="9" t="n"/>
      <c r="C29" s="10" t="n"/>
      <c r="D29" s="10" t="n"/>
      <c r="E29" s="9">
        <f>IF(OR(C29="",D29=""),"",ROUND((D29-C29)*1440,0))</f>
        <v/>
      </c>
      <c r="F29" s="9" t="n"/>
      <c r="G29" s="9" t="n"/>
      <c r="H29" s="9" t="n"/>
      <c r="I29" s="9" t="n"/>
      <c r="J29" s="9">
        <f>IF(F29="","",IF(OR(G29="Nao",H29="Nao",I29="Sim"),"RECUSAR/REGISTRAR",IF(AND(E29&lt;&gt;"",E29&gt;Parametros!$B$6),"RECUSAR - tempo",IF(ABS(F29-Parametros!$B$4)&lt;=Parametros!$B$5,"LIBERADO",IF(F29&lt;Parametros!$B$4,"CORRIGIR VIA CENTRAL","RECUSAR - fluido")))))</f>
        <v/>
      </c>
      <c r="K29" s="11" t="n"/>
      <c r="L29" s="11" t="n"/>
    </row>
    <row r="30">
      <c r="A30" s="12" t="n"/>
      <c r="B30" s="13" t="n"/>
      <c r="C30" s="14" t="n"/>
      <c r="D30" s="14" t="n"/>
      <c r="E30" s="13">
        <f>IF(OR(C30="",D30=""),"",ROUND((D30-C30)*1440,0))</f>
        <v/>
      </c>
      <c r="F30" s="13" t="n"/>
      <c r="G30" s="13" t="n"/>
      <c r="H30" s="13" t="n"/>
      <c r="I30" s="13" t="n"/>
      <c r="J30" s="13">
        <f>IF(F30="","",IF(OR(G30="Nao",H30="Nao",I30="Sim"),"RECUSAR/REGISTRAR",IF(AND(E30&lt;&gt;"",E30&gt;Parametros!$B$6),"RECUSAR - tempo",IF(ABS(F30-Parametros!$B$4)&lt;=Parametros!$B$5,"LIBERADO",IF(F30&lt;Parametros!$B$4,"CORRIGIR VIA CENTRAL","RECUSAR - fluido")))))</f>
        <v/>
      </c>
      <c r="K30" s="15" t="n"/>
      <c r="L30" s="15" t="n"/>
    </row>
    <row r="31">
      <c r="A31" s="8" t="n"/>
      <c r="B31" s="9" t="n"/>
      <c r="C31" s="10" t="n"/>
      <c r="D31" s="10" t="n"/>
      <c r="E31" s="9">
        <f>IF(OR(C31="",D31=""),"",ROUND((D31-C31)*1440,0))</f>
        <v/>
      </c>
      <c r="F31" s="9" t="n"/>
      <c r="G31" s="9" t="n"/>
      <c r="H31" s="9" t="n"/>
      <c r="I31" s="9" t="n"/>
      <c r="J31" s="9">
        <f>IF(F31="","",IF(OR(G31="Nao",H31="Nao",I31="Sim"),"RECUSAR/REGISTRAR",IF(AND(E31&lt;&gt;"",E31&gt;Parametros!$B$6),"RECUSAR - tempo",IF(ABS(F31-Parametros!$B$4)&lt;=Parametros!$B$5,"LIBERADO",IF(F31&lt;Parametros!$B$4,"CORRIGIR VIA CENTRAL","RECUSAR - fluido")))))</f>
        <v/>
      </c>
      <c r="K31" s="11" t="n"/>
      <c r="L31" s="11" t="n"/>
    </row>
    <row r="32">
      <c r="A32" s="12" t="n"/>
      <c r="B32" s="13" t="n"/>
      <c r="C32" s="14" t="n"/>
      <c r="D32" s="14" t="n"/>
      <c r="E32" s="13">
        <f>IF(OR(C32="",D32=""),"",ROUND((D32-C32)*1440,0))</f>
        <v/>
      </c>
      <c r="F32" s="13" t="n"/>
      <c r="G32" s="13" t="n"/>
      <c r="H32" s="13" t="n"/>
      <c r="I32" s="13" t="n"/>
      <c r="J32" s="13">
        <f>IF(F32="","",IF(OR(G32="Nao",H32="Nao",I32="Sim"),"RECUSAR/REGISTRAR",IF(AND(E32&lt;&gt;"",E32&gt;Parametros!$B$6),"RECUSAR - tempo",IF(ABS(F32-Parametros!$B$4)&lt;=Parametros!$B$5,"LIBERADO",IF(F32&lt;Parametros!$B$4,"CORRIGIR VIA CENTRAL","RECUSAR - fluido")))))</f>
        <v/>
      </c>
      <c r="K32" s="15" t="n"/>
      <c r="L32" s="15" t="n"/>
    </row>
    <row r="33">
      <c r="A33" s="8" t="n"/>
      <c r="B33" s="9" t="n"/>
      <c r="C33" s="10" t="n"/>
      <c r="D33" s="10" t="n"/>
      <c r="E33" s="9">
        <f>IF(OR(C33="",D33=""),"",ROUND((D33-C33)*1440,0))</f>
        <v/>
      </c>
      <c r="F33" s="9" t="n"/>
      <c r="G33" s="9" t="n"/>
      <c r="H33" s="9" t="n"/>
      <c r="I33" s="9" t="n"/>
      <c r="J33" s="9">
        <f>IF(F33="","",IF(OR(G33="Nao",H33="Nao",I33="Sim"),"RECUSAR/REGISTRAR",IF(AND(E33&lt;&gt;"",E33&gt;Parametros!$B$6),"RECUSAR - tempo",IF(ABS(F33-Parametros!$B$4)&lt;=Parametros!$B$5,"LIBERADO",IF(F33&lt;Parametros!$B$4,"CORRIGIR VIA CENTRAL","RECUSAR - fluido")))))</f>
        <v/>
      </c>
      <c r="K33" s="11" t="n"/>
      <c r="L33" s="11" t="n"/>
    </row>
    <row r="34">
      <c r="A34" s="12" t="n"/>
      <c r="B34" s="13" t="n"/>
      <c r="C34" s="14" t="n"/>
      <c r="D34" s="14" t="n"/>
      <c r="E34" s="13">
        <f>IF(OR(C34="",D34=""),"",ROUND((D34-C34)*1440,0))</f>
        <v/>
      </c>
      <c r="F34" s="13" t="n"/>
      <c r="G34" s="13" t="n"/>
      <c r="H34" s="13" t="n"/>
      <c r="I34" s="13" t="n"/>
      <c r="J34" s="13">
        <f>IF(F34="","",IF(OR(G34="Nao",H34="Nao",I34="Sim"),"RECUSAR/REGISTRAR",IF(AND(E34&lt;&gt;"",E34&gt;Parametros!$B$6),"RECUSAR - tempo",IF(ABS(F34-Parametros!$B$4)&lt;=Parametros!$B$5,"LIBERADO",IF(F34&lt;Parametros!$B$4,"CORRIGIR VIA CENTRAL","RECUSAR - fluido")))))</f>
        <v/>
      </c>
      <c r="K34" s="15" t="n"/>
      <c r="L34" s="15" t="n"/>
    </row>
    <row r="35">
      <c r="A35" s="8" t="n"/>
      <c r="B35" s="9" t="n"/>
      <c r="C35" s="10" t="n"/>
      <c r="D35" s="10" t="n"/>
      <c r="E35" s="9">
        <f>IF(OR(C35="",D35=""),"",ROUND((D35-C35)*1440,0))</f>
        <v/>
      </c>
      <c r="F35" s="9" t="n"/>
      <c r="G35" s="9" t="n"/>
      <c r="H35" s="9" t="n"/>
      <c r="I35" s="9" t="n"/>
      <c r="J35" s="9">
        <f>IF(F35="","",IF(OR(G35="Nao",H35="Nao",I35="Sim"),"RECUSAR/REGISTRAR",IF(AND(E35&lt;&gt;"",E35&gt;Parametros!$B$6),"RECUSAR - tempo",IF(ABS(F35-Parametros!$B$4)&lt;=Parametros!$B$5,"LIBERADO",IF(F35&lt;Parametros!$B$4,"CORRIGIR VIA CENTRAL","RECUSAR - fluido")))))</f>
        <v/>
      </c>
      <c r="K35" s="11" t="n"/>
      <c r="L35" s="11" t="n"/>
    </row>
    <row r="36">
      <c r="A36" s="12" t="n"/>
      <c r="B36" s="13" t="n"/>
      <c r="C36" s="14" t="n"/>
      <c r="D36" s="14" t="n"/>
      <c r="E36" s="13">
        <f>IF(OR(C36="",D36=""),"",ROUND((D36-C36)*1440,0))</f>
        <v/>
      </c>
      <c r="F36" s="13" t="n"/>
      <c r="G36" s="13" t="n"/>
      <c r="H36" s="13" t="n"/>
      <c r="I36" s="13" t="n"/>
      <c r="J36" s="13">
        <f>IF(F36="","",IF(OR(G36="Nao",H36="Nao",I36="Sim"),"RECUSAR/REGISTRAR",IF(AND(E36&lt;&gt;"",E36&gt;Parametros!$B$6),"RECUSAR - tempo",IF(ABS(F36-Parametros!$B$4)&lt;=Parametros!$B$5,"LIBERADO",IF(F36&lt;Parametros!$B$4,"CORRIGIR VIA CENTRAL","RECUSAR - fluido")))))</f>
        <v/>
      </c>
      <c r="K36" s="15" t="n"/>
      <c r="L36" s="15" t="n"/>
    </row>
    <row r="37">
      <c r="A37" s="8" t="n"/>
      <c r="B37" s="9" t="n"/>
      <c r="C37" s="10" t="n"/>
      <c r="D37" s="10" t="n"/>
      <c r="E37" s="9">
        <f>IF(OR(C37="",D37=""),"",ROUND((D37-C37)*1440,0))</f>
        <v/>
      </c>
      <c r="F37" s="9" t="n"/>
      <c r="G37" s="9" t="n"/>
      <c r="H37" s="9" t="n"/>
      <c r="I37" s="9" t="n"/>
      <c r="J37" s="9">
        <f>IF(F37="","",IF(OR(G37="Nao",H37="Nao",I37="Sim"),"RECUSAR/REGISTRAR",IF(AND(E37&lt;&gt;"",E37&gt;Parametros!$B$6),"RECUSAR - tempo",IF(ABS(F37-Parametros!$B$4)&lt;=Parametros!$B$5,"LIBERADO",IF(F37&lt;Parametros!$B$4,"CORRIGIR VIA CENTRAL","RECUSAR - fluido")))))</f>
        <v/>
      </c>
      <c r="K37" s="11" t="n"/>
      <c r="L37" s="11" t="n"/>
    </row>
    <row r="38">
      <c r="A38" s="12" t="n"/>
      <c r="B38" s="13" t="n"/>
      <c r="C38" s="14" t="n"/>
      <c r="D38" s="14" t="n"/>
      <c r="E38" s="13">
        <f>IF(OR(C38="",D38=""),"",ROUND((D38-C38)*1440,0))</f>
        <v/>
      </c>
      <c r="F38" s="13" t="n"/>
      <c r="G38" s="13" t="n"/>
      <c r="H38" s="13" t="n"/>
      <c r="I38" s="13" t="n"/>
      <c r="J38" s="13">
        <f>IF(F38="","",IF(OR(G38="Nao",H38="Nao",I38="Sim"),"RECUSAR/REGISTRAR",IF(AND(E38&lt;&gt;"",E38&gt;Parametros!$B$6),"RECUSAR - tempo",IF(ABS(F38-Parametros!$B$4)&lt;=Parametros!$B$5,"LIBERADO",IF(F38&lt;Parametros!$B$4,"CORRIGIR VIA CENTRAL","RECUSAR - fluido")))))</f>
        <v/>
      </c>
      <c r="K38" s="15" t="n"/>
      <c r="L38" s="15" t="n"/>
    </row>
    <row r="39">
      <c r="A39" s="8" t="n"/>
      <c r="B39" s="9" t="n"/>
      <c r="C39" s="10" t="n"/>
      <c r="D39" s="10" t="n"/>
      <c r="E39" s="9">
        <f>IF(OR(C39="",D39=""),"",ROUND((D39-C39)*1440,0))</f>
        <v/>
      </c>
      <c r="F39" s="9" t="n"/>
      <c r="G39" s="9" t="n"/>
      <c r="H39" s="9" t="n"/>
      <c r="I39" s="9" t="n"/>
      <c r="J39" s="9">
        <f>IF(F39="","",IF(OR(G39="Nao",H39="Nao",I39="Sim"),"RECUSAR/REGISTRAR",IF(AND(E39&lt;&gt;"",E39&gt;Parametros!$B$6),"RECUSAR - tempo",IF(ABS(F39-Parametros!$B$4)&lt;=Parametros!$B$5,"LIBERADO",IF(F39&lt;Parametros!$B$4,"CORRIGIR VIA CENTRAL","RECUSAR - fluido")))))</f>
        <v/>
      </c>
      <c r="K39" s="11" t="n"/>
      <c r="L39" s="11" t="n"/>
    </row>
    <row r="40">
      <c r="A40" s="12" t="n"/>
      <c r="B40" s="13" t="n"/>
      <c r="C40" s="14" t="n"/>
      <c r="D40" s="14" t="n"/>
      <c r="E40" s="13">
        <f>IF(OR(C40="",D40=""),"",ROUND((D40-C40)*1440,0))</f>
        <v/>
      </c>
      <c r="F40" s="13" t="n"/>
      <c r="G40" s="13" t="n"/>
      <c r="H40" s="13" t="n"/>
      <c r="I40" s="13" t="n"/>
      <c r="J40" s="13">
        <f>IF(F40="","",IF(OR(G40="Nao",H40="Nao",I40="Sim"),"RECUSAR/REGISTRAR",IF(AND(E40&lt;&gt;"",E40&gt;Parametros!$B$6),"RECUSAR - tempo",IF(ABS(F40-Parametros!$B$4)&lt;=Parametros!$B$5,"LIBERADO",IF(F40&lt;Parametros!$B$4,"CORRIGIR VIA CENTRAL","RECUSAR - fluido")))))</f>
        <v/>
      </c>
      <c r="K40" s="15" t="n"/>
      <c r="L40" s="15" t="n"/>
    </row>
    <row r="41">
      <c r="A41" s="8" t="n"/>
      <c r="B41" s="9" t="n"/>
      <c r="C41" s="10" t="n"/>
      <c r="D41" s="10" t="n"/>
      <c r="E41" s="9">
        <f>IF(OR(C41="",D41=""),"",ROUND((D41-C41)*1440,0))</f>
        <v/>
      </c>
      <c r="F41" s="9" t="n"/>
      <c r="G41" s="9" t="n"/>
      <c r="H41" s="9" t="n"/>
      <c r="I41" s="9" t="n"/>
      <c r="J41" s="9">
        <f>IF(F41="","",IF(OR(G41="Nao",H41="Nao",I41="Sim"),"RECUSAR/REGISTRAR",IF(AND(E41&lt;&gt;"",E41&gt;Parametros!$B$6),"RECUSAR - tempo",IF(ABS(F41-Parametros!$B$4)&lt;=Parametros!$B$5,"LIBERADO",IF(F41&lt;Parametros!$B$4,"CORRIGIR VIA CENTRAL","RECUSAR - fluido")))))</f>
        <v/>
      </c>
      <c r="K41" s="11" t="n"/>
      <c r="L41" s="11" t="n"/>
    </row>
    <row r="42">
      <c r="A42" s="12" t="n"/>
      <c r="B42" s="13" t="n"/>
      <c r="C42" s="14" t="n"/>
      <c r="D42" s="14" t="n"/>
      <c r="E42" s="13">
        <f>IF(OR(C42="",D42=""),"",ROUND((D42-C42)*1440,0))</f>
        <v/>
      </c>
      <c r="F42" s="13" t="n"/>
      <c r="G42" s="13" t="n"/>
      <c r="H42" s="13" t="n"/>
      <c r="I42" s="13" t="n"/>
      <c r="J42" s="13">
        <f>IF(F42="","",IF(OR(G42="Nao",H42="Nao",I42="Sim"),"RECUSAR/REGISTRAR",IF(AND(E42&lt;&gt;"",E42&gt;Parametros!$B$6),"RECUSAR - tempo",IF(ABS(F42-Parametros!$B$4)&lt;=Parametros!$B$5,"LIBERADO",IF(F42&lt;Parametros!$B$4,"CORRIGIR VIA CENTRAL","RECUSAR - fluido")))))</f>
        <v/>
      </c>
      <c r="K42" s="15" t="n"/>
      <c r="L42" s="15" t="n"/>
    </row>
    <row r="43">
      <c r="A43" s="8" t="n"/>
      <c r="B43" s="9" t="n"/>
      <c r="C43" s="10" t="n"/>
      <c r="D43" s="10" t="n"/>
      <c r="E43" s="9">
        <f>IF(OR(C43="",D43=""),"",ROUND((D43-C43)*1440,0))</f>
        <v/>
      </c>
      <c r="F43" s="9" t="n"/>
      <c r="G43" s="9" t="n"/>
      <c r="H43" s="9" t="n"/>
      <c r="I43" s="9" t="n"/>
      <c r="J43" s="9">
        <f>IF(F43="","",IF(OR(G43="Nao",H43="Nao",I43="Sim"),"RECUSAR/REGISTRAR",IF(AND(E43&lt;&gt;"",E43&gt;Parametros!$B$6),"RECUSAR - tempo",IF(ABS(F43-Parametros!$B$4)&lt;=Parametros!$B$5,"LIBERADO",IF(F43&lt;Parametros!$B$4,"CORRIGIR VIA CENTRAL","RECUSAR - fluido")))))</f>
        <v/>
      </c>
      <c r="K43" s="11" t="n"/>
      <c r="L43" s="11" t="n"/>
    </row>
    <row r="44">
      <c r="A44" s="12" t="n"/>
      <c r="B44" s="13" t="n"/>
      <c r="C44" s="14" t="n"/>
      <c r="D44" s="14" t="n"/>
      <c r="E44" s="13">
        <f>IF(OR(C44="",D44=""),"",ROUND((D44-C44)*1440,0))</f>
        <v/>
      </c>
      <c r="F44" s="13" t="n"/>
      <c r="G44" s="13" t="n"/>
      <c r="H44" s="13" t="n"/>
      <c r="I44" s="13" t="n"/>
      <c r="J44" s="13">
        <f>IF(F44="","",IF(OR(G44="Nao",H44="Nao",I44="Sim"),"RECUSAR/REGISTRAR",IF(AND(E44&lt;&gt;"",E44&gt;Parametros!$B$6),"RECUSAR - tempo",IF(ABS(F44-Parametros!$B$4)&lt;=Parametros!$B$5,"LIBERADO",IF(F44&lt;Parametros!$B$4,"CORRIGIR VIA CENTRAL","RECUSAR - fluido")))))</f>
        <v/>
      </c>
      <c r="K44" s="15" t="n"/>
      <c r="L44" s="15" t="n"/>
    </row>
    <row r="45">
      <c r="A45" s="8" t="n"/>
      <c r="B45" s="9" t="n"/>
      <c r="C45" s="10" t="n"/>
      <c r="D45" s="10" t="n"/>
      <c r="E45" s="9">
        <f>IF(OR(C45="",D45=""),"",ROUND((D45-C45)*1440,0))</f>
        <v/>
      </c>
      <c r="F45" s="9" t="n"/>
      <c r="G45" s="9" t="n"/>
      <c r="H45" s="9" t="n"/>
      <c r="I45" s="9" t="n"/>
      <c r="J45" s="9">
        <f>IF(F45="","",IF(OR(G45="Nao",H45="Nao",I45="Sim"),"RECUSAR/REGISTRAR",IF(AND(E45&lt;&gt;"",E45&gt;Parametros!$B$6),"RECUSAR - tempo",IF(ABS(F45-Parametros!$B$4)&lt;=Parametros!$B$5,"LIBERADO",IF(F45&lt;Parametros!$B$4,"CORRIGIR VIA CENTRAL","RECUSAR - fluido")))))</f>
        <v/>
      </c>
      <c r="K45" s="11" t="n"/>
      <c r="L45" s="11" t="n"/>
    </row>
    <row r="46">
      <c r="A46" s="12" t="n"/>
      <c r="B46" s="13" t="n"/>
      <c r="C46" s="14" t="n"/>
      <c r="D46" s="14" t="n"/>
      <c r="E46" s="13">
        <f>IF(OR(C46="",D46=""),"",ROUND((D46-C46)*1440,0))</f>
        <v/>
      </c>
      <c r="F46" s="13" t="n"/>
      <c r="G46" s="13" t="n"/>
      <c r="H46" s="13" t="n"/>
      <c r="I46" s="13" t="n"/>
      <c r="J46" s="13">
        <f>IF(F46="","",IF(OR(G46="Nao",H46="Nao",I46="Sim"),"RECUSAR/REGISTRAR",IF(AND(E46&lt;&gt;"",E46&gt;Parametros!$B$6),"RECUSAR - tempo",IF(ABS(F46-Parametros!$B$4)&lt;=Parametros!$B$5,"LIBERADO",IF(F46&lt;Parametros!$B$4,"CORRIGIR VIA CENTRAL","RECUSAR - fluido")))))</f>
        <v/>
      </c>
      <c r="K46" s="15" t="n"/>
      <c r="L46" s="15" t="n"/>
    </row>
    <row r="47">
      <c r="A47" s="8" t="n"/>
      <c r="B47" s="9" t="n"/>
      <c r="C47" s="10" t="n"/>
      <c r="D47" s="10" t="n"/>
      <c r="E47" s="9">
        <f>IF(OR(C47="",D47=""),"",ROUND((D47-C47)*1440,0))</f>
        <v/>
      </c>
      <c r="F47" s="9" t="n"/>
      <c r="G47" s="9" t="n"/>
      <c r="H47" s="9" t="n"/>
      <c r="I47" s="9" t="n"/>
      <c r="J47" s="9">
        <f>IF(F47="","",IF(OR(G47="Nao",H47="Nao",I47="Sim"),"RECUSAR/REGISTRAR",IF(AND(E47&lt;&gt;"",E47&gt;Parametros!$B$6),"RECUSAR - tempo",IF(ABS(F47-Parametros!$B$4)&lt;=Parametros!$B$5,"LIBERADO",IF(F47&lt;Parametros!$B$4,"CORRIGIR VIA CENTRAL","RECUSAR - fluido")))))</f>
        <v/>
      </c>
      <c r="K47" s="11" t="n"/>
      <c r="L47" s="11" t="n"/>
    </row>
    <row r="48">
      <c r="A48" s="12" t="n"/>
      <c r="B48" s="13" t="n"/>
      <c r="C48" s="14" t="n"/>
      <c r="D48" s="14" t="n"/>
      <c r="E48" s="13">
        <f>IF(OR(C48="",D48=""),"",ROUND((D48-C48)*1440,0))</f>
        <v/>
      </c>
      <c r="F48" s="13" t="n"/>
      <c r="G48" s="13" t="n"/>
      <c r="H48" s="13" t="n"/>
      <c r="I48" s="13" t="n"/>
      <c r="J48" s="13">
        <f>IF(F48="","",IF(OR(G48="Nao",H48="Nao",I48="Sim"),"RECUSAR/REGISTRAR",IF(AND(E48&lt;&gt;"",E48&gt;Parametros!$B$6),"RECUSAR - tempo",IF(ABS(F48-Parametros!$B$4)&lt;=Parametros!$B$5,"LIBERADO",IF(F48&lt;Parametros!$B$4,"CORRIGIR VIA CENTRAL","RECUSAR - fluido")))))</f>
        <v/>
      </c>
      <c r="K48" s="15" t="n"/>
      <c r="L48" s="15" t="n"/>
    </row>
    <row r="49">
      <c r="A49" s="8" t="n"/>
      <c r="B49" s="9" t="n"/>
      <c r="C49" s="10" t="n"/>
      <c r="D49" s="10" t="n"/>
      <c r="E49" s="9">
        <f>IF(OR(C49="",D49=""),"",ROUND((D49-C49)*1440,0))</f>
        <v/>
      </c>
      <c r="F49" s="9" t="n"/>
      <c r="G49" s="9" t="n"/>
      <c r="H49" s="9" t="n"/>
      <c r="I49" s="9" t="n"/>
      <c r="J49" s="9">
        <f>IF(F49="","",IF(OR(G49="Nao",H49="Nao",I49="Sim"),"RECUSAR/REGISTRAR",IF(AND(E49&lt;&gt;"",E49&gt;Parametros!$B$6),"RECUSAR - tempo",IF(ABS(F49-Parametros!$B$4)&lt;=Parametros!$B$5,"LIBERADO",IF(F49&lt;Parametros!$B$4,"CORRIGIR VIA CENTRAL","RECUSAR - fluido")))))</f>
        <v/>
      </c>
      <c r="K49" s="11" t="n"/>
      <c r="L49" s="11" t="n"/>
    </row>
    <row r="50">
      <c r="A50" s="12" t="n"/>
      <c r="B50" s="13" t="n"/>
      <c r="C50" s="14" t="n"/>
      <c r="D50" s="14" t="n"/>
      <c r="E50" s="13">
        <f>IF(OR(C50="",D50=""),"",ROUND((D50-C50)*1440,0))</f>
        <v/>
      </c>
      <c r="F50" s="13" t="n"/>
      <c r="G50" s="13" t="n"/>
      <c r="H50" s="13" t="n"/>
      <c r="I50" s="13" t="n"/>
      <c r="J50" s="13">
        <f>IF(F50="","",IF(OR(G50="Nao",H50="Nao",I50="Sim"),"RECUSAR/REGISTRAR",IF(AND(E50&lt;&gt;"",E50&gt;Parametros!$B$6),"RECUSAR - tempo",IF(ABS(F50-Parametros!$B$4)&lt;=Parametros!$B$5,"LIBERADO",IF(F50&lt;Parametros!$B$4,"CORRIGIR VIA CENTRAL","RECUSAR - fluido")))))</f>
        <v/>
      </c>
      <c r="K50" s="15" t="n"/>
      <c r="L50" s="15" t="n"/>
    </row>
    <row r="51">
      <c r="A51" s="8" t="n"/>
      <c r="B51" s="9" t="n"/>
      <c r="C51" s="10" t="n"/>
      <c r="D51" s="10" t="n"/>
      <c r="E51" s="9">
        <f>IF(OR(C51="",D51=""),"",ROUND((D51-C51)*1440,0))</f>
        <v/>
      </c>
      <c r="F51" s="9" t="n"/>
      <c r="G51" s="9" t="n"/>
      <c r="H51" s="9" t="n"/>
      <c r="I51" s="9" t="n"/>
      <c r="J51" s="9">
        <f>IF(F51="","",IF(OR(G51="Nao",H51="Nao",I51="Sim"),"RECUSAR/REGISTRAR",IF(AND(E51&lt;&gt;"",E51&gt;Parametros!$B$6),"RECUSAR - tempo",IF(ABS(F51-Parametros!$B$4)&lt;=Parametros!$B$5,"LIBERADO",IF(F51&lt;Parametros!$B$4,"CORRIGIR VIA CENTRAL","RECUSAR - fluido")))))</f>
        <v/>
      </c>
      <c r="K51" s="11" t="n"/>
      <c r="L51" s="11" t="n"/>
    </row>
    <row r="52">
      <c r="A52" s="12" t="n"/>
      <c r="B52" s="13" t="n"/>
      <c r="C52" s="14" t="n"/>
      <c r="D52" s="14" t="n"/>
      <c r="E52" s="13">
        <f>IF(OR(C52="",D52=""),"",ROUND((D52-C52)*1440,0))</f>
        <v/>
      </c>
      <c r="F52" s="13" t="n"/>
      <c r="G52" s="13" t="n"/>
      <c r="H52" s="13" t="n"/>
      <c r="I52" s="13" t="n"/>
      <c r="J52" s="13">
        <f>IF(F52="","",IF(OR(G52="Nao",H52="Nao",I52="Sim"),"RECUSAR/REGISTRAR",IF(AND(E52&lt;&gt;"",E52&gt;Parametros!$B$6),"RECUSAR - tempo",IF(ABS(F52-Parametros!$B$4)&lt;=Parametros!$B$5,"LIBERADO",IF(F52&lt;Parametros!$B$4,"CORRIGIR VIA CENTRAL","RECUSAR - fluido")))))</f>
        <v/>
      </c>
      <c r="K52" s="15" t="n"/>
      <c r="L52" s="15" t="n"/>
    </row>
    <row r="53">
      <c r="A53" s="8" t="n"/>
      <c r="B53" s="9" t="n"/>
      <c r="C53" s="10" t="n"/>
      <c r="D53" s="10" t="n"/>
      <c r="E53" s="9">
        <f>IF(OR(C53="",D53=""),"",ROUND((D53-C53)*1440,0))</f>
        <v/>
      </c>
      <c r="F53" s="9" t="n"/>
      <c r="G53" s="9" t="n"/>
      <c r="H53" s="9" t="n"/>
      <c r="I53" s="9" t="n"/>
      <c r="J53" s="9">
        <f>IF(F53="","",IF(OR(G53="Nao",H53="Nao",I53="Sim"),"RECUSAR/REGISTRAR",IF(AND(E53&lt;&gt;"",E53&gt;Parametros!$B$6),"RECUSAR - tempo",IF(ABS(F53-Parametros!$B$4)&lt;=Parametros!$B$5,"LIBERADO",IF(F53&lt;Parametros!$B$4,"CORRIGIR VIA CENTRAL","RECUSAR - fluido")))))</f>
        <v/>
      </c>
      <c r="K53" s="11" t="n"/>
      <c r="L53" s="11" t="n"/>
    </row>
    <row r="54">
      <c r="A54" s="12" t="n"/>
      <c r="B54" s="13" t="n"/>
      <c r="C54" s="14" t="n"/>
      <c r="D54" s="14" t="n"/>
      <c r="E54" s="13">
        <f>IF(OR(C54="",D54=""),"",ROUND((D54-C54)*1440,0))</f>
        <v/>
      </c>
      <c r="F54" s="13" t="n"/>
      <c r="G54" s="13" t="n"/>
      <c r="H54" s="13" t="n"/>
      <c r="I54" s="13" t="n"/>
      <c r="J54" s="13">
        <f>IF(F54="","",IF(OR(G54="Nao",H54="Nao",I54="Sim"),"RECUSAR/REGISTRAR",IF(AND(E54&lt;&gt;"",E54&gt;Parametros!$B$6),"RECUSAR - tempo",IF(ABS(F54-Parametros!$B$4)&lt;=Parametros!$B$5,"LIBERADO",IF(F54&lt;Parametros!$B$4,"CORRIGIR VIA CENTRAL","RECUSAR - fluido")))))</f>
        <v/>
      </c>
      <c r="K54" s="15" t="n"/>
      <c r="L54" s="15" t="n"/>
    </row>
    <row r="55">
      <c r="A55" s="8" t="n"/>
      <c r="B55" s="9" t="n"/>
      <c r="C55" s="10" t="n"/>
      <c r="D55" s="10" t="n"/>
      <c r="E55" s="9">
        <f>IF(OR(C55="",D55=""),"",ROUND((D55-C55)*1440,0))</f>
        <v/>
      </c>
      <c r="F55" s="9" t="n"/>
      <c r="G55" s="9" t="n"/>
      <c r="H55" s="9" t="n"/>
      <c r="I55" s="9" t="n"/>
      <c r="J55" s="9">
        <f>IF(F55="","",IF(OR(G55="Nao",H55="Nao",I55="Sim"),"RECUSAR/REGISTRAR",IF(AND(E55&lt;&gt;"",E55&gt;Parametros!$B$6),"RECUSAR - tempo",IF(ABS(F55-Parametros!$B$4)&lt;=Parametros!$B$5,"LIBERADO",IF(F55&lt;Parametros!$B$4,"CORRIGIR VIA CENTRAL","RECUSAR - fluido")))))</f>
        <v/>
      </c>
      <c r="K55" s="11" t="n"/>
      <c r="L55" s="11" t="n"/>
    </row>
    <row r="56">
      <c r="A56" s="12" t="n"/>
      <c r="B56" s="13" t="n"/>
      <c r="C56" s="14" t="n"/>
      <c r="D56" s="14" t="n"/>
      <c r="E56" s="13">
        <f>IF(OR(C56="",D56=""),"",ROUND((D56-C56)*1440,0))</f>
        <v/>
      </c>
      <c r="F56" s="13" t="n"/>
      <c r="G56" s="13" t="n"/>
      <c r="H56" s="13" t="n"/>
      <c r="I56" s="13" t="n"/>
      <c r="J56" s="13">
        <f>IF(F56="","",IF(OR(G56="Nao",H56="Nao",I56="Sim"),"RECUSAR/REGISTRAR",IF(AND(E56&lt;&gt;"",E56&gt;Parametros!$B$6),"RECUSAR - tempo",IF(ABS(F56-Parametros!$B$4)&lt;=Parametros!$B$5,"LIBERADO",IF(F56&lt;Parametros!$B$4,"CORRIGIR VIA CENTRAL","RECUSAR - fluido")))))</f>
        <v/>
      </c>
      <c r="K56" s="15" t="n"/>
      <c r="L56" s="15" t="n"/>
    </row>
    <row r="57">
      <c r="A57" s="8" t="n"/>
      <c r="B57" s="9" t="n"/>
      <c r="C57" s="10" t="n"/>
      <c r="D57" s="10" t="n"/>
      <c r="E57" s="9">
        <f>IF(OR(C57="",D57=""),"",ROUND((D57-C57)*1440,0))</f>
        <v/>
      </c>
      <c r="F57" s="9" t="n"/>
      <c r="G57" s="9" t="n"/>
      <c r="H57" s="9" t="n"/>
      <c r="I57" s="9" t="n"/>
      <c r="J57" s="9">
        <f>IF(F57="","",IF(OR(G57="Nao",H57="Nao",I57="Sim"),"RECUSAR/REGISTRAR",IF(AND(E57&lt;&gt;"",E57&gt;Parametros!$B$6),"RECUSAR - tempo",IF(ABS(F57-Parametros!$B$4)&lt;=Parametros!$B$5,"LIBERADO",IF(F57&lt;Parametros!$B$4,"CORRIGIR VIA CENTRAL","RECUSAR - fluido")))))</f>
        <v/>
      </c>
      <c r="K57" s="11" t="n"/>
      <c r="L57" s="11" t="n"/>
    </row>
    <row r="58">
      <c r="A58" s="12" t="n"/>
      <c r="B58" s="13" t="n"/>
      <c r="C58" s="14" t="n"/>
      <c r="D58" s="14" t="n"/>
      <c r="E58" s="13">
        <f>IF(OR(C58="",D58=""),"",ROUND((D58-C58)*1440,0))</f>
        <v/>
      </c>
      <c r="F58" s="13" t="n"/>
      <c r="G58" s="13" t="n"/>
      <c r="H58" s="13" t="n"/>
      <c r="I58" s="13" t="n"/>
      <c r="J58" s="13">
        <f>IF(F58="","",IF(OR(G58="Nao",H58="Nao",I58="Sim"),"RECUSAR/REGISTRAR",IF(AND(E58&lt;&gt;"",E58&gt;Parametros!$B$6),"RECUSAR - tempo",IF(ABS(F58-Parametros!$B$4)&lt;=Parametros!$B$5,"LIBERADO",IF(F58&lt;Parametros!$B$4,"CORRIGIR VIA CENTRAL","RECUSAR - fluido")))))</f>
        <v/>
      </c>
      <c r="K58" s="15" t="n"/>
      <c r="L58" s="15" t="n"/>
    </row>
    <row r="59">
      <c r="A59" s="8" t="n"/>
      <c r="B59" s="9" t="n"/>
      <c r="C59" s="10" t="n"/>
      <c r="D59" s="10" t="n"/>
      <c r="E59" s="9">
        <f>IF(OR(C59="",D59=""),"",ROUND((D59-C59)*1440,0))</f>
        <v/>
      </c>
      <c r="F59" s="9" t="n"/>
      <c r="G59" s="9" t="n"/>
      <c r="H59" s="9" t="n"/>
      <c r="I59" s="9" t="n"/>
      <c r="J59" s="9">
        <f>IF(F59="","",IF(OR(G59="Nao",H59="Nao",I59="Sim"),"RECUSAR/REGISTRAR",IF(AND(E59&lt;&gt;"",E59&gt;Parametros!$B$6),"RECUSAR - tempo",IF(ABS(F59-Parametros!$B$4)&lt;=Parametros!$B$5,"LIBERADO",IF(F59&lt;Parametros!$B$4,"CORRIGIR VIA CENTRAL","RECUSAR - fluido")))))</f>
        <v/>
      </c>
      <c r="K59" s="11" t="n"/>
      <c r="L59" s="11" t="n"/>
    </row>
    <row r="60">
      <c r="A60" s="12" t="n"/>
      <c r="B60" s="13" t="n"/>
      <c r="C60" s="14" t="n"/>
      <c r="D60" s="14" t="n"/>
      <c r="E60" s="13">
        <f>IF(OR(C60="",D60=""),"",ROUND((D60-C60)*1440,0))</f>
        <v/>
      </c>
      <c r="F60" s="13" t="n"/>
      <c r="G60" s="13" t="n"/>
      <c r="H60" s="13" t="n"/>
      <c r="I60" s="13" t="n"/>
      <c r="J60" s="13">
        <f>IF(F60="","",IF(OR(G60="Nao",H60="Nao",I60="Sim"),"RECUSAR/REGISTRAR",IF(AND(E60&lt;&gt;"",E60&gt;Parametros!$B$6),"RECUSAR - tempo",IF(ABS(F60-Parametros!$B$4)&lt;=Parametros!$B$5,"LIBERADO",IF(F60&lt;Parametros!$B$4,"CORRIGIR VIA CENTRAL","RECUSAR - fluido")))))</f>
        <v/>
      </c>
      <c r="K60" s="15" t="n"/>
      <c r="L60" s="15" t="n"/>
    </row>
    <row r="61">
      <c r="A61" s="8" t="n"/>
      <c r="B61" s="9" t="n"/>
      <c r="C61" s="10" t="n"/>
      <c r="D61" s="10" t="n"/>
      <c r="E61" s="9">
        <f>IF(OR(C61="",D61=""),"",ROUND((D61-C61)*1440,0))</f>
        <v/>
      </c>
      <c r="F61" s="9" t="n"/>
      <c r="G61" s="9" t="n"/>
      <c r="H61" s="9" t="n"/>
      <c r="I61" s="9" t="n"/>
      <c r="J61" s="9">
        <f>IF(F61="","",IF(OR(G61="Nao",H61="Nao",I61="Sim"),"RECUSAR/REGISTRAR",IF(AND(E61&lt;&gt;"",E61&gt;Parametros!$B$6),"RECUSAR - tempo",IF(ABS(F61-Parametros!$B$4)&lt;=Parametros!$B$5,"LIBERADO",IF(F61&lt;Parametros!$B$4,"CORRIGIR VIA CENTRAL","RECUSAR - fluido")))))</f>
        <v/>
      </c>
      <c r="K61" s="11" t="n"/>
      <c r="L61" s="11" t="n"/>
    </row>
    <row r="62">
      <c r="A62" s="12" t="n"/>
      <c r="B62" s="13" t="n"/>
      <c r="C62" s="14" t="n"/>
      <c r="D62" s="14" t="n"/>
      <c r="E62" s="13">
        <f>IF(OR(C62="",D62=""),"",ROUND((D62-C62)*1440,0))</f>
        <v/>
      </c>
      <c r="F62" s="13" t="n"/>
      <c r="G62" s="13" t="n"/>
      <c r="H62" s="13" t="n"/>
      <c r="I62" s="13" t="n"/>
      <c r="J62" s="13">
        <f>IF(F62="","",IF(OR(G62="Nao",H62="Nao",I62="Sim"),"RECUSAR/REGISTRAR",IF(AND(E62&lt;&gt;"",E62&gt;Parametros!$B$6),"RECUSAR - tempo",IF(ABS(F62-Parametros!$B$4)&lt;=Parametros!$B$5,"LIBERADO",IF(F62&lt;Parametros!$B$4,"CORRIGIR VIA CENTRAL","RECUSAR - fluido")))))</f>
        <v/>
      </c>
      <c r="K62" s="15" t="n"/>
      <c r="L62" s="15" t="n"/>
    </row>
    <row r="63">
      <c r="A63" s="8" t="n"/>
      <c r="B63" s="9" t="n"/>
      <c r="C63" s="10" t="n"/>
      <c r="D63" s="10" t="n"/>
      <c r="E63" s="9">
        <f>IF(OR(C63="",D63=""),"",ROUND((D63-C63)*1440,0))</f>
        <v/>
      </c>
      <c r="F63" s="9" t="n"/>
      <c r="G63" s="9" t="n"/>
      <c r="H63" s="9" t="n"/>
      <c r="I63" s="9" t="n"/>
      <c r="J63" s="9">
        <f>IF(F63="","",IF(OR(G63="Nao",H63="Nao",I63="Sim"),"RECUSAR/REGISTRAR",IF(AND(E63&lt;&gt;"",E63&gt;Parametros!$B$6),"RECUSAR - tempo",IF(ABS(F63-Parametros!$B$4)&lt;=Parametros!$B$5,"LIBERADO",IF(F63&lt;Parametros!$B$4,"CORRIGIR VIA CENTRAL","RECUSAR - fluido")))))</f>
        <v/>
      </c>
      <c r="K63" s="11" t="n"/>
      <c r="L63" s="11" t="n"/>
    </row>
    <row r="64">
      <c r="A64" s="12" t="n"/>
      <c r="B64" s="13" t="n"/>
      <c r="C64" s="14" t="n"/>
      <c r="D64" s="14" t="n"/>
      <c r="E64" s="13">
        <f>IF(OR(C64="",D64=""),"",ROUND((D64-C64)*1440,0))</f>
        <v/>
      </c>
      <c r="F64" s="13" t="n"/>
      <c r="G64" s="13" t="n"/>
      <c r="H64" s="13" t="n"/>
      <c r="I64" s="13" t="n"/>
      <c r="J64" s="13">
        <f>IF(F64="","",IF(OR(G64="Nao",H64="Nao",I64="Sim"),"RECUSAR/REGISTRAR",IF(AND(E64&lt;&gt;"",E64&gt;Parametros!$B$6),"RECUSAR - tempo",IF(ABS(F64-Parametros!$B$4)&lt;=Parametros!$B$5,"LIBERADO",IF(F64&lt;Parametros!$B$4,"CORRIGIR VIA CENTRAL","RECUSAR - fluido")))))</f>
        <v/>
      </c>
      <c r="K64" s="15" t="n"/>
      <c r="L64" s="15" t="n"/>
    </row>
    <row r="65">
      <c r="A65" s="8" t="n"/>
      <c r="B65" s="9" t="n"/>
      <c r="C65" s="10" t="n"/>
      <c r="D65" s="10" t="n"/>
      <c r="E65" s="9">
        <f>IF(OR(C65="",D65=""),"",ROUND((D65-C65)*1440,0))</f>
        <v/>
      </c>
      <c r="F65" s="9" t="n"/>
      <c r="G65" s="9" t="n"/>
      <c r="H65" s="9" t="n"/>
      <c r="I65" s="9" t="n"/>
      <c r="J65" s="9">
        <f>IF(F65="","",IF(OR(G65="Nao",H65="Nao",I65="Sim"),"RECUSAR/REGISTRAR",IF(AND(E65&lt;&gt;"",E65&gt;Parametros!$B$6),"RECUSAR - tempo",IF(ABS(F65-Parametros!$B$4)&lt;=Parametros!$B$5,"LIBERADO",IF(F65&lt;Parametros!$B$4,"CORRIGIR VIA CENTRAL","RECUSAR - fluido")))))</f>
        <v/>
      </c>
      <c r="K65" s="11" t="n"/>
      <c r="L65" s="11" t="n"/>
    </row>
    <row r="66">
      <c r="A66" s="12" t="n"/>
      <c r="B66" s="13" t="n"/>
      <c r="C66" s="14" t="n"/>
      <c r="D66" s="14" t="n"/>
      <c r="E66" s="13">
        <f>IF(OR(C66="",D66=""),"",ROUND((D66-C66)*1440,0))</f>
        <v/>
      </c>
      <c r="F66" s="13" t="n"/>
      <c r="G66" s="13" t="n"/>
      <c r="H66" s="13" t="n"/>
      <c r="I66" s="13" t="n"/>
      <c r="J66" s="13">
        <f>IF(F66="","",IF(OR(G66="Nao",H66="Nao",I66="Sim"),"RECUSAR/REGISTRAR",IF(AND(E66&lt;&gt;"",E66&gt;Parametros!$B$6),"RECUSAR - tempo",IF(ABS(F66-Parametros!$B$4)&lt;=Parametros!$B$5,"LIBERADO",IF(F66&lt;Parametros!$B$4,"CORRIGIR VIA CENTRAL","RECUSAR - fluido")))))</f>
        <v/>
      </c>
      <c r="K66" s="15" t="n"/>
      <c r="L66" s="15" t="n"/>
    </row>
    <row r="67">
      <c r="A67" s="8" t="n"/>
      <c r="B67" s="9" t="n"/>
      <c r="C67" s="10" t="n"/>
      <c r="D67" s="10" t="n"/>
      <c r="E67" s="9">
        <f>IF(OR(C67="",D67=""),"",ROUND((D67-C67)*1440,0))</f>
        <v/>
      </c>
      <c r="F67" s="9" t="n"/>
      <c r="G67" s="9" t="n"/>
      <c r="H67" s="9" t="n"/>
      <c r="I67" s="9" t="n"/>
      <c r="J67" s="9">
        <f>IF(F67="","",IF(OR(G67="Nao",H67="Nao",I67="Sim"),"RECUSAR/REGISTRAR",IF(AND(E67&lt;&gt;"",E67&gt;Parametros!$B$6),"RECUSAR - tempo",IF(ABS(F67-Parametros!$B$4)&lt;=Parametros!$B$5,"LIBERADO",IF(F67&lt;Parametros!$B$4,"CORRIGIR VIA CENTRAL","RECUSAR - fluido")))))</f>
        <v/>
      </c>
      <c r="K67" s="11" t="n"/>
      <c r="L67" s="11" t="n"/>
    </row>
    <row r="68">
      <c r="A68" s="12" t="n"/>
      <c r="B68" s="13" t="n"/>
      <c r="C68" s="14" t="n"/>
      <c r="D68" s="14" t="n"/>
      <c r="E68" s="13">
        <f>IF(OR(C68="",D68=""),"",ROUND((D68-C68)*1440,0))</f>
        <v/>
      </c>
      <c r="F68" s="13" t="n"/>
      <c r="G68" s="13" t="n"/>
      <c r="H68" s="13" t="n"/>
      <c r="I68" s="13" t="n"/>
      <c r="J68" s="13">
        <f>IF(F68="","",IF(OR(G68="Nao",H68="Nao",I68="Sim"),"RECUSAR/REGISTRAR",IF(AND(E68&lt;&gt;"",E68&gt;Parametros!$B$6),"RECUSAR - tempo",IF(ABS(F68-Parametros!$B$4)&lt;=Parametros!$B$5,"LIBERADO",IF(F68&lt;Parametros!$B$4,"CORRIGIR VIA CENTRAL","RECUSAR - fluido")))))</f>
        <v/>
      </c>
      <c r="K68" s="15" t="n"/>
      <c r="L68" s="15" t="n"/>
    </row>
    <row r="69">
      <c r="A69" s="8" t="n"/>
      <c r="B69" s="9" t="n"/>
      <c r="C69" s="10" t="n"/>
      <c r="D69" s="10" t="n"/>
      <c r="E69" s="9">
        <f>IF(OR(C69="",D69=""),"",ROUND((D69-C69)*1440,0))</f>
        <v/>
      </c>
      <c r="F69" s="9" t="n"/>
      <c r="G69" s="9" t="n"/>
      <c r="H69" s="9" t="n"/>
      <c r="I69" s="9" t="n"/>
      <c r="J69" s="9">
        <f>IF(F69="","",IF(OR(G69="Nao",H69="Nao",I69="Sim"),"RECUSAR/REGISTRAR",IF(AND(E69&lt;&gt;"",E69&gt;Parametros!$B$6),"RECUSAR - tempo",IF(ABS(F69-Parametros!$B$4)&lt;=Parametros!$B$5,"LIBERADO",IF(F69&lt;Parametros!$B$4,"CORRIGIR VIA CENTRAL","RECUSAR - fluido")))))</f>
        <v/>
      </c>
      <c r="K69" s="11" t="n"/>
      <c r="L69" s="11" t="n"/>
    </row>
    <row r="70">
      <c r="A70" s="12" t="n"/>
      <c r="B70" s="13" t="n"/>
      <c r="C70" s="14" t="n"/>
      <c r="D70" s="14" t="n"/>
      <c r="E70" s="13">
        <f>IF(OR(C70="",D70=""),"",ROUND((D70-C70)*1440,0))</f>
        <v/>
      </c>
      <c r="F70" s="13" t="n"/>
      <c r="G70" s="13" t="n"/>
      <c r="H70" s="13" t="n"/>
      <c r="I70" s="13" t="n"/>
      <c r="J70" s="13">
        <f>IF(F70="","",IF(OR(G70="Nao",H70="Nao",I70="Sim"),"RECUSAR/REGISTRAR",IF(AND(E70&lt;&gt;"",E70&gt;Parametros!$B$6),"RECUSAR - tempo",IF(ABS(F70-Parametros!$B$4)&lt;=Parametros!$B$5,"LIBERADO",IF(F70&lt;Parametros!$B$4,"CORRIGIR VIA CENTRAL","RECUSAR - fluido")))))</f>
        <v/>
      </c>
      <c r="K70" s="15" t="n"/>
      <c r="L70" s="15" t="n"/>
    </row>
    <row r="71">
      <c r="A71" s="8" t="n"/>
      <c r="B71" s="9" t="n"/>
      <c r="C71" s="10" t="n"/>
      <c r="D71" s="10" t="n"/>
      <c r="E71" s="9">
        <f>IF(OR(C71="",D71=""),"",ROUND((D71-C71)*1440,0))</f>
        <v/>
      </c>
      <c r="F71" s="9" t="n"/>
      <c r="G71" s="9" t="n"/>
      <c r="H71" s="9" t="n"/>
      <c r="I71" s="9" t="n"/>
      <c r="J71" s="9">
        <f>IF(F71="","",IF(OR(G71="Nao",H71="Nao",I71="Sim"),"RECUSAR/REGISTRAR",IF(AND(E71&lt;&gt;"",E71&gt;Parametros!$B$6),"RECUSAR - tempo",IF(ABS(F71-Parametros!$B$4)&lt;=Parametros!$B$5,"LIBERADO",IF(F71&lt;Parametros!$B$4,"CORRIGIR VIA CENTRAL","RECUSAR - fluido")))))</f>
        <v/>
      </c>
      <c r="K71" s="11" t="n"/>
      <c r="L71" s="11" t="n"/>
    </row>
    <row r="72">
      <c r="A72" s="12" t="n"/>
      <c r="B72" s="13" t="n"/>
      <c r="C72" s="14" t="n"/>
      <c r="D72" s="14" t="n"/>
      <c r="E72" s="13">
        <f>IF(OR(C72="",D72=""),"",ROUND((D72-C72)*1440,0))</f>
        <v/>
      </c>
      <c r="F72" s="13" t="n"/>
      <c r="G72" s="13" t="n"/>
      <c r="H72" s="13" t="n"/>
      <c r="I72" s="13" t="n"/>
      <c r="J72" s="13">
        <f>IF(F72="","",IF(OR(G72="Nao",H72="Nao",I72="Sim"),"RECUSAR/REGISTRAR",IF(AND(E72&lt;&gt;"",E72&gt;Parametros!$B$6),"RECUSAR - tempo",IF(ABS(F72-Parametros!$B$4)&lt;=Parametros!$B$5,"LIBERADO",IF(F72&lt;Parametros!$B$4,"CORRIGIR VIA CENTRAL","RECUSAR - fluido")))))</f>
        <v/>
      </c>
      <c r="K72" s="15" t="n"/>
      <c r="L72" s="15" t="n"/>
    </row>
    <row r="73">
      <c r="A73" s="8" t="n"/>
      <c r="B73" s="9" t="n"/>
      <c r="C73" s="10" t="n"/>
      <c r="D73" s="10" t="n"/>
      <c r="E73" s="9">
        <f>IF(OR(C73="",D73=""),"",ROUND((D73-C73)*1440,0))</f>
        <v/>
      </c>
      <c r="F73" s="9" t="n"/>
      <c r="G73" s="9" t="n"/>
      <c r="H73" s="9" t="n"/>
      <c r="I73" s="9" t="n"/>
      <c r="J73" s="9">
        <f>IF(F73="","",IF(OR(G73="Nao",H73="Nao",I73="Sim"),"RECUSAR/REGISTRAR",IF(AND(E73&lt;&gt;"",E73&gt;Parametros!$B$6),"RECUSAR - tempo",IF(ABS(F73-Parametros!$B$4)&lt;=Parametros!$B$5,"LIBERADO",IF(F73&lt;Parametros!$B$4,"CORRIGIR VIA CENTRAL","RECUSAR - fluido")))))</f>
        <v/>
      </c>
      <c r="K73" s="11" t="n"/>
      <c r="L73" s="11" t="n"/>
    </row>
    <row r="74">
      <c r="A74" s="12" t="n"/>
      <c r="B74" s="13" t="n"/>
      <c r="C74" s="14" t="n"/>
      <c r="D74" s="14" t="n"/>
      <c r="E74" s="13">
        <f>IF(OR(C74="",D74=""),"",ROUND((D74-C74)*1440,0))</f>
        <v/>
      </c>
      <c r="F74" s="13" t="n"/>
      <c r="G74" s="13" t="n"/>
      <c r="H74" s="13" t="n"/>
      <c r="I74" s="13" t="n"/>
      <c r="J74" s="13">
        <f>IF(F74="","",IF(OR(G74="Nao",H74="Nao",I74="Sim"),"RECUSAR/REGISTRAR",IF(AND(E74&lt;&gt;"",E74&gt;Parametros!$B$6),"RECUSAR - tempo",IF(ABS(F74-Parametros!$B$4)&lt;=Parametros!$B$5,"LIBERADO",IF(F74&lt;Parametros!$B$4,"CORRIGIR VIA CENTRAL","RECUSAR - fluido")))))</f>
        <v/>
      </c>
      <c r="K74" s="15" t="n"/>
      <c r="L74" s="15" t="n"/>
    </row>
    <row r="75">
      <c r="A75" s="8" t="n"/>
      <c r="B75" s="9" t="n"/>
      <c r="C75" s="10" t="n"/>
      <c r="D75" s="10" t="n"/>
      <c r="E75" s="9">
        <f>IF(OR(C75="",D75=""),"",ROUND((D75-C75)*1440,0))</f>
        <v/>
      </c>
      <c r="F75" s="9" t="n"/>
      <c r="G75" s="9" t="n"/>
      <c r="H75" s="9" t="n"/>
      <c r="I75" s="9" t="n"/>
      <c r="J75" s="9">
        <f>IF(F75="","",IF(OR(G75="Nao",H75="Nao",I75="Sim"),"RECUSAR/REGISTRAR",IF(AND(E75&lt;&gt;"",E75&gt;Parametros!$B$6),"RECUSAR - tempo",IF(ABS(F75-Parametros!$B$4)&lt;=Parametros!$B$5,"LIBERADO",IF(F75&lt;Parametros!$B$4,"CORRIGIR VIA CENTRAL","RECUSAR - fluido")))))</f>
        <v/>
      </c>
      <c r="K75" s="11" t="n"/>
      <c r="L75" s="11" t="n"/>
    </row>
    <row r="76">
      <c r="A76" s="12" t="n"/>
      <c r="B76" s="13" t="n"/>
      <c r="C76" s="14" t="n"/>
      <c r="D76" s="14" t="n"/>
      <c r="E76" s="13">
        <f>IF(OR(C76="",D76=""),"",ROUND((D76-C76)*1440,0))</f>
        <v/>
      </c>
      <c r="F76" s="13" t="n"/>
      <c r="G76" s="13" t="n"/>
      <c r="H76" s="13" t="n"/>
      <c r="I76" s="13" t="n"/>
      <c r="J76" s="13">
        <f>IF(F76="","",IF(OR(G76="Nao",H76="Nao",I76="Sim"),"RECUSAR/REGISTRAR",IF(AND(E76&lt;&gt;"",E76&gt;Parametros!$B$6),"RECUSAR - tempo",IF(ABS(F76-Parametros!$B$4)&lt;=Parametros!$B$5,"LIBERADO",IF(F76&lt;Parametros!$B$4,"CORRIGIR VIA CENTRAL","RECUSAR - fluido")))))</f>
        <v/>
      </c>
      <c r="K76" s="15" t="n"/>
      <c r="L76" s="15" t="n"/>
    </row>
    <row r="77">
      <c r="A77" s="8" t="n"/>
      <c r="B77" s="9" t="n"/>
      <c r="C77" s="10" t="n"/>
      <c r="D77" s="10" t="n"/>
      <c r="E77" s="9">
        <f>IF(OR(C77="",D77=""),"",ROUND((D77-C77)*1440,0))</f>
        <v/>
      </c>
      <c r="F77" s="9" t="n"/>
      <c r="G77" s="9" t="n"/>
      <c r="H77" s="9" t="n"/>
      <c r="I77" s="9" t="n"/>
      <c r="J77" s="9">
        <f>IF(F77="","",IF(OR(G77="Nao",H77="Nao",I77="Sim"),"RECUSAR/REGISTRAR",IF(AND(E77&lt;&gt;"",E77&gt;Parametros!$B$6),"RECUSAR - tempo",IF(ABS(F77-Parametros!$B$4)&lt;=Parametros!$B$5,"LIBERADO",IF(F77&lt;Parametros!$B$4,"CORRIGIR VIA CENTRAL","RECUSAR - fluido")))))</f>
        <v/>
      </c>
      <c r="K77" s="11" t="n"/>
      <c r="L77" s="11" t="n"/>
    </row>
    <row r="78">
      <c r="A78" s="12" t="n"/>
      <c r="B78" s="13" t="n"/>
      <c r="C78" s="14" t="n"/>
      <c r="D78" s="14" t="n"/>
      <c r="E78" s="13">
        <f>IF(OR(C78="",D78=""),"",ROUND((D78-C78)*1440,0))</f>
        <v/>
      </c>
      <c r="F78" s="13" t="n"/>
      <c r="G78" s="13" t="n"/>
      <c r="H78" s="13" t="n"/>
      <c r="I78" s="13" t="n"/>
      <c r="J78" s="13">
        <f>IF(F78="","",IF(OR(G78="Nao",H78="Nao",I78="Sim"),"RECUSAR/REGISTRAR",IF(AND(E78&lt;&gt;"",E78&gt;Parametros!$B$6),"RECUSAR - tempo",IF(ABS(F78-Parametros!$B$4)&lt;=Parametros!$B$5,"LIBERADO",IF(F78&lt;Parametros!$B$4,"CORRIGIR VIA CENTRAL","RECUSAR - fluido")))))</f>
        <v/>
      </c>
      <c r="K78" s="15" t="n"/>
      <c r="L78" s="15" t="n"/>
    </row>
    <row r="79">
      <c r="A79" s="8" t="n"/>
      <c r="B79" s="9" t="n"/>
      <c r="C79" s="10" t="n"/>
      <c r="D79" s="10" t="n"/>
      <c r="E79" s="9">
        <f>IF(OR(C79="",D79=""),"",ROUND((D79-C79)*1440,0))</f>
        <v/>
      </c>
      <c r="F79" s="9" t="n"/>
      <c r="G79" s="9" t="n"/>
      <c r="H79" s="9" t="n"/>
      <c r="I79" s="9" t="n"/>
      <c r="J79" s="9">
        <f>IF(F79="","",IF(OR(G79="Nao",H79="Nao",I79="Sim"),"RECUSAR/REGISTRAR",IF(AND(E79&lt;&gt;"",E79&gt;Parametros!$B$6),"RECUSAR - tempo",IF(ABS(F79-Parametros!$B$4)&lt;=Parametros!$B$5,"LIBERADO",IF(F79&lt;Parametros!$B$4,"CORRIGIR VIA CENTRAL","RECUSAR - fluido")))))</f>
        <v/>
      </c>
      <c r="K79" s="11" t="n"/>
      <c r="L79" s="11" t="n"/>
    </row>
    <row r="80">
      <c r="A80" s="12" t="n"/>
      <c r="B80" s="13" t="n"/>
      <c r="C80" s="14" t="n"/>
      <c r="D80" s="14" t="n"/>
      <c r="E80" s="13">
        <f>IF(OR(C80="",D80=""),"",ROUND((D80-C80)*1440,0))</f>
        <v/>
      </c>
      <c r="F80" s="13" t="n"/>
      <c r="G80" s="13" t="n"/>
      <c r="H80" s="13" t="n"/>
      <c r="I80" s="13" t="n"/>
      <c r="J80" s="13">
        <f>IF(F80="","",IF(OR(G80="Nao",H80="Nao",I80="Sim"),"RECUSAR/REGISTRAR",IF(AND(E80&lt;&gt;"",E80&gt;Parametros!$B$6),"RECUSAR - tempo",IF(ABS(F80-Parametros!$B$4)&lt;=Parametros!$B$5,"LIBERADO",IF(F80&lt;Parametros!$B$4,"CORRIGIR VIA CENTRAL","RECUSAR - fluido")))))</f>
        <v/>
      </c>
      <c r="K80" s="15" t="n"/>
      <c r="L80" s="15" t="n"/>
    </row>
    <row r="81">
      <c r="A81" s="8" t="n"/>
      <c r="B81" s="9" t="n"/>
      <c r="C81" s="10" t="n"/>
      <c r="D81" s="10" t="n"/>
      <c r="E81" s="9">
        <f>IF(OR(C81="",D81=""),"",ROUND((D81-C81)*1440,0))</f>
        <v/>
      </c>
      <c r="F81" s="9" t="n"/>
      <c r="G81" s="9" t="n"/>
      <c r="H81" s="9" t="n"/>
      <c r="I81" s="9" t="n"/>
      <c r="J81" s="9">
        <f>IF(F81="","",IF(OR(G81="Nao",H81="Nao",I81="Sim"),"RECUSAR/REGISTRAR",IF(AND(E81&lt;&gt;"",E81&gt;Parametros!$B$6),"RECUSAR - tempo",IF(ABS(F81-Parametros!$B$4)&lt;=Parametros!$B$5,"LIBERADO",IF(F81&lt;Parametros!$B$4,"CORRIGIR VIA CENTRAL","RECUSAR - fluido")))))</f>
        <v/>
      </c>
      <c r="K81" s="11" t="n"/>
      <c r="L81" s="11" t="n"/>
    </row>
    <row r="82">
      <c r="A82" s="12" t="n"/>
      <c r="B82" s="13" t="n"/>
      <c r="C82" s="14" t="n"/>
      <c r="D82" s="14" t="n"/>
      <c r="E82" s="13">
        <f>IF(OR(C82="",D82=""),"",ROUND((D82-C82)*1440,0))</f>
        <v/>
      </c>
      <c r="F82" s="13" t="n"/>
      <c r="G82" s="13" t="n"/>
      <c r="H82" s="13" t="n"/>
      <c r="I82" s="13" t="n"/>
      <c r="J82" s="13">
        <f>IF(F82="","",IF(OR(G82="Nao",H82="Nao",I82="Sim"),"RECUSAR/REGISTRAR",IF(AND(E82&lt;&gt;"",E82&gt;Parametros!$B$6),"RECUSAR - tempo",IF(ABS(F82-Parametros!$B$4)&lt;=Parametros!$B$5,"LIBERADO",IF(F82&lt;Parametros!$B$4,"CORRIGIR VIA CENTRAL","RECUSAR - fluido")))))</f>
        <v/>
      </c>
      <c r="K82" s="15" t="n"/>
      <c r="L82" s="15" t="n"/>
    </row>
    <row r="83">
      <c r="A83" s="8" t="n"/>
      <c r="B83" s="9" t="n"/>
      <c r="C83" s="10" t="n"/>
      <c r="D83" s="10" t="n"/>
      <c r="E83" s="9">
        <f>IF(OR(C83="",D83=""),"",ROUND((D83-C83)*1440,0))</f>
        <v/>
      </c>
      <c r="F83" s="9" t="n"/>
      <c r="G83" s="9" t="n"/>
      <c r="H83" s="9" t="n"/>
      <c r="I83" s="9" t="n"/>
      <c r="J83" s="9">
        <f>IF(F83="","",IF(OR(G83="Nao",H83="Nao",I83="Sim"),"RECUSAR/REGISTRAR",IF(AND(E83&lt;&gt;"",E83&gt;Parametros!$B$6),"RECUSAR - tempo",IF(ABS(F83-Parametros!$B$4)&lt;=Parametros!$B$5,"LIBERADO",IF(F83&lt;Parametros!$B$4,"CORRIGIR VIA CENTRAL","RECUSAR - fluido")))))</f>
        <v/>
      </c>
      <c r="K83" s="11" t="n"/>
      <c r="L83" s="11" t="n"/>
    </row>
    <row r="84">
      <c r="A84" s="12" t="n"/>
      <c r="B84" s="13" t="n"/>
      <c r="C84" s="14" t="n"/>
      <c r="D84" s="14" t="n"/>
      <c r="E84" s="13">
        <f>IF(OR(C84="",D84=""),"",ROUND((D84-C84)*1440,0))</f>
        <v/>
      </c>
      <c r="F84" s="13" t="n"/>
      <c r="G84" s="13" t="n"/>
      <c r="H84" s="13" t="n"/>
      <c r="I84" s="13" t="n"/>
      <c r="J84" s="13">
        <f>IF(F84="","",IF(OR(G84="Nao",H84="Nao",I84="Sim"),"RECUSAR/REGISTRAR",IF(AND(E84&lt;&gt;"",E84&gt;Parametros!$B$6),"RECUSAR - tempo",IF(ABS(F84-Parametros!$B$4)&lt;=Parametros!$B$5,"LIBERADO",IF(F84&lt;Parametros!$B$4,"CORRIGIR VIA CENTRAL","RECUSAR - fluido")))))</f>
        <v/>
      </c>
      <c r="K84" s="15" t="n"/>
      <c r="L84" s="15" t="n"/>
    </row>
    <row r="85">
      <c r="A85" s="8" t="n"/>
      <c r="B85" s="9" t="n"/>
      <c r="C85" s="10" t="n"/>
      <c r="D85" s="10" t="n"/>
      <c r="E85" s="9">
        <f>IF(OR(C85="",D85=""),"",ROUND((D85-C85)*1440,0))</f>
        <v/>
      </c>
      <c r="F85" s="9" t="n"/>
      <c r="G85" s="9" t="n"/>
      <c r="H85" s="9" t="n"/>
      <c r="I85" s="9" t="n"/>
      <c r="J85" s="9">
        <f>IF(F85="","",IF(OR(G85="Nao",H85="Nao",I85="Sim"),"RECUSAR/REGISTRAR",IF(AND(E85&lt;&gt;"",E85&gt;Parametros!$B$6),"RECUSAR - tempo",IF(ABS(F85-Parametros!$B$4)&lt;=Parametros!$B$5,"LIBERADO",IF(F85&lt;Parametros!$B$4,"CORRIGIR VIA CENTRAL","RECUSAR - fluido")))))</f>
        <v/>
      </c>
      <c r="K85" s="11" t="n"/>
      <c r="L85" s="11" t="n"/>
    </row>
    <row r="86">
      <c r="A86" s="12" t="n"/>
      <c r="B86" s="13" t="n"/>
      <c r="C86" s="14" t="n"/>
      <c r="D86" s="14" t="n"/>
      <c r="E86" s="13">
        <f>IF(OR(C86="",D86=""),"",ROUND((D86-C86)*1440,0))</f>
        <v/>
      </c>
      <c r="F86" s="13" t="n"/>
      <c r="G86" s="13" t="n"/>
      <c r="H86" s="13" t="n"/>
      <c r="I86" s="13" t="n"/>
      <c r="J86" s="13">
        <f>IF(F86="","",IF(OR(G86="Nao",H86="Nao",I86="Sim"),"RECUSAR/REGISTRAR",IF(AND(E86&lt;&gt;"",E86&gt;Parametros!$B$6),"RECUSAR - tempo",IF(ABS(F86-Parametros!$B$4)&lt;=Parametros!$B$5,"LIBERADO",IF(F86&lt;Parametros!$B$4,"CORRIGIR VIA CENTRAL","RECUSAR - fluido")))))</f>
        <v/>
      </c>
      <c r="K86" s="15" t="n"/>
      <c r="L86" s="15" t="n"/>
    </row>
    <row r="87">
      <c r="A87" s="8" t="n"/>
      <c r="B87" s="9" t="n"/>
      <c r="C87" s="10" t="n"/>
      <c r="D87" s="10" t="n"/>
      <c r="E87" s="9">
        <f>IF(OR(C87="",D87=""),"",ROUND((D87-C87)*1440,0))</f>
        <v/>
      </c>
      <c r="F87" s="9" t="n"/>
      <c r="G87" s="9" t="n"/>
      <c r="H87" s="9" t="n"/>
      <c r="I87" s="9" t="n"/>
      <c r="J87" s="9">
        <f>IF(F87="","",IF(OR(G87="Nao",H87="Nao",I87="Sim"),"RECUSAR/REGISTRAR",IF(AND(E87&lt;&gt;"",E87&gt;Parametros!$B$6),"RECUSAR - tempo",IF(ABS(F87-Parametros!$B$4)&lt;=Parametros!$B$5,"LIBERADO",IF(F87&lt;Parametros!$B$4,"CORRIGIR VIA CENTRAL","RECUSAR - fluido")))))</f>
        <v/>
      </c>
      <c r="K87" s="11" t="n"/>
      <c r="L87" s="11" t="n"/>
    </row>
    <row r="88">
      <c r="A88" s="12" t="n"/>
      <c r="B88" s="13" t="n"/>
      <c r="C88" s="14" t="n"/>
      <c r="D88" s="14" t="n"/>
      <c r="E88" s="13">
        <f>IF(OR(C88="",D88=""),"",ROUND((D88-C88)*1440,0))</f>
        <v/>
      </c>
      <c r="F88" s="13" t="n"/>
      <c r="G88" s="13" t="n"/>
      <c r="H88" s="13" t="n"/>
      <c r="I88" s="13" t="n"/>
      <c r="J88" s="13">
        <f>IF(F88="","",IF(OR(G88="Nao",H88="Nao",I88="Sim"),"RECUSAR/REGISTRAR",IF(AND(E88&lt;&gt;"",E88&gt;Parametros!$B$6),"RECUSAR - tempo",IF(ABS(F88-Parametros!$B$4)&lt;=Parametros!$B$5,"LIBERADO",IF(F88&lt;Parametros!$B$4,"CORRIGIR VIA CENTRAL","RECUSAR - fluido")))))</f>
        <v/>
      </c>
      <c r="K88" s="15" t="n"/>
      <c r="L88" s="15" t="n"/>
    </row>
    <row r="89">
      <c r="A89" s="8" t="n"/>
      <c r="B89" s="9" t="n"/>
      <c r="C89" s="10" t="n"/>
      <c r="D89" s="10" t="n"/>
      <c r="E89" s="9">
        <f>IF(OR(C89="",D89=""),"",ROUND((D89-C89)*1440,0))</f>
        <v/>
      </c>
      <c r="F89" s="9" t="n"/>
      <c r="G89" s="9" t="n"/>
      <c r="H89" s="9" t="n"/>
      <c r="I89" s="9" t="n"/>
      <c r="J89" s="9">
        <f>IF(F89="","",IF(OR(G89="Nao",H89="Nao",I89="Sim"),"RECUSAR/REGISTRAR",IF(AND(E89&lt;&gt;"",E89&gt;Parametros!$B$6),"RECUSAR - tempo",IF(ABS(F89-Parametros!$B$4)&lt;=Parametros!$B$5,"LIBERADO",IF(F89&lt;Parametros!$B$4,"CORRIGIR VIA CENTRAL","RECUSAR - fluido")))))</f>
        <v/>
      </c>
      <c r="K89" s="11" t="n"/>
      <c r="L89" s="11" t="n"/>
    </row>
    <row r="90">
      <c r="A90" s="12" t="n"/>
      <c r="B90" s="13" t="n"/>
      <c r="C90" s="14" t="n"/>
      <c r="D90" s="14" t="n"/>
      <c r="E90" s="13">
        <f>IF(OR(C90="",D90=""),"",ROUND((D90-C90)*1440,0))</f>
        <v/>
      </c>
      <c r="F90" s="13" t="n"/>
      <c r="G90" s="13" t="n"/>
      <c r="H90" s="13" t="n"/>
      <c r="I90" s="13" t="n"/>
      <c r="J90" s="13">
        <f>IF(F90="","",IF(OR(G90="Nao",H90="Nao",I90="Sim"),"RECUSAR/REGISTRAR",IF(AND(E90&lt;&gt;"",E90&gt;Parametros!$B$6),"RECUSAR - tempo",IF(ABS(F90-Parametros!$B$4)&lt;=Parametros!$B$5,"LIBERADO",IF(F90&lt;Parametros!$B$4,"CORRIGIR VIA CENTRAL","RECUSAR - fluido")))))</f>
        <v/>
      </c>
      <c r="K90" s="15" t="n"/>
      <c r="L90" s="15" t="n"/>
    </row>
    <row r="91">
      <c r="A91" s="8" t="n"/>
      <c r="B91" s="9" t="n"/>
      <c r="C91" s="10" t="n"/>
      <c r="D91" s="10" t="n"/>
      <c r="E91" s="9">
        <f>IF(OR(C91="",D91=""),"",ROUND((D91-C91)*1440,0))</f>
        <v/>
      </c>
      <c r="F91" s="9" t="n"/>
      <c r="G91" s="9" t="n"/>
      <c r="H91" s="9" t="n"/>
      <c r="I91" s="9" t="n"/>
      <c r="J91" s="9">
        <f>IF(F91="","",IF(OR(G91="Nao",H91="Nao",I91="Sim"),"RECUSAR/REGISTRAR",IF(AND(E91&lt;&gt;"",E91&gt;Parametros!$B$6),"RECUSAR - tempo",IF(ABS(F91-Parametros!$B$4)&lt;=Parametros!$B$5,"LIBERADO",IF(F91&lt;Parametros!$B$4,"CORRIGIR VIA CENTRAL","RECUSAR - fluido")))))</f>
        <v/>
      </c>
      <c r="K91" s="11" t="n"/>
      <c r="L91" s="11" t="n"/>
    </row>
    <row r="92">
      <c r="A92" s="12" t="n"/>
      <c r="B92" s="13" t="n"/>
      <c r="C92" s="14" t="n"/>
      <c r="D92" s="14" t="n"/>
      <c r="E92" s="13">
        <f>IF(OR(C92="",D92=""),"",ROUND((D92-C92)*1440,0))</f>
        <v/>
      </c>
      <c r="F92" s="13" t="n"/>
      <c r="G92" s="13" t="n"/>
      <c r="H92" s="13" t="n"/>
      <c r="I92" s="13" t="n"/>
      <c r="J92" s="13">
        <f>IF(F92="","",IF(OR(G92="Nao",H92="Nao",I92="Sim"),"RECUSAR/REGISTRAR",IF(AND(E92&lt;&gt;"",E92&gt;Parametros!$B$6),"RECUSAR - tempo",IF(ABS(F92-Parametros!$B$4)&lt;=Parametros!$B$5,"LIBERADO",IF(F92&lt;Parametros!$B$4,"CORRIGIR VIA CENTRAL","RECUSAR - fluido")))))</f>
        <v/>
      </c>
      <c r="K92" s="15" t="n"/>
      <c r="L92" s="15" t="n"/>
    </row>
    <row r="93">
      <c r="A93" s="8" t="n"/>
      <c r="B93" s="9" t="n"/>
      <c r="C93" s="10" t="n"/>
      <c r="D93" s="10" t="n"/>
      <c r="E93" s="9">
        <f>IF(OR(C93="",D93=""),"",ROUND((D93-C93)*1440,0))</f>
        <v/>
      </c>
      <c r="F93" s="9" t="n"/>
      <c r="G93" s="9" t="n"/>
      <c r="H93" s="9" t="n"/>
      <c r="I93" s="9" t="n"/>
      <c r="J93" s="9">
        <f>IF(F93="","",IF(OR(G93="Nao",H93="Nao",I93="Sim"),"RECUSAR/REGISTRAR",IF(AND(E93&lt;&gt;"",E93&gt;Parametros!$B$6),"RECUSAR - tempo",IF(ABS(F93-Parametros!$B$4)&lt;=Parametros!$B$5,"LIBERADO",IF(F93&lt;Parametros!$B$4,"CORRIGIR VIA CENTRAL","RECUSAR - fluido")))))</f>
        <v/>
      </c>
      <c r="K93" s="11" t="n"/>
      <c r="L93" s="11" t="n"/>
    </row>
    <row r="94">
      <c r="A94" s="12" t="n"/>
      <c r="B94" s="13" t="n"/>
      <c r="C94" s="14" t="n"/>
      <c r="D94" s="14" t="n"/>
      <c r="E94" s="13">
        <f>IF(OR(C94="",D94=""),"",ROUND((D94-C94)*1440,0))</f>
        <v/>
      </c>
      <c r="F94" s="13" t="n"/>
      <c r="G94" s="13" t="n"/>
      <c r="H94" s="13" t="n"/>
      <c r="I94" s="13" t="n"/>
      <c r="J94" s="13">
        <f>IF(F94="","",IF(OR(G94="Nao",H94="Nao",I94="Sim"),"RECUSAR/REGISTRAR",IF(AND(E94&lt;&gt;"",E94&gt;Parametros!$B$6),"RECUSAR - tempo",IF(ABS(F94-Parametros!$B$4)&lt;=Parametros!$B$5,"LIBERADO",IF(F94&lt;Parametros!$B$4,"CORRIGIR VIA CENTRAL","RECUSAR - fluido")))))</f>
        <v/>
      </c>
      <c r="K94" s="15" t="n"/>
      <c r="L94" s="15" t="n"/>
    </row>
    <row r="95">
      <c r="A95" s="8" t="n"/>
      <c r="B95" s="9" t="n"/>
      <c r="C95" s="10" t="n"/>
      <c r="D95" s="10" t="n"/>
      <c r="E95" s="9">
        <f>IF(OR(C95="",D95=""),"",ROUND((D95-C95)*1440,0))</f>
        <v/>
      </c>
      <c r="F95" s="9" t="n"/>
      <c r="G95" s="9" t="n"/>
      <c r="H95" s="9" t="n"/>
      <c r="I95" s="9" t="n"/>
      <c r="J95" s="9">
        <f>IF(F95="","",IF(OR(G95="Nao",H95="Nao",I95="Sim"),"RECUSAR/REGISTRAR",IF(AND(E95&lt;&gt;"",E95&gt;Parametros!$B$6),"RECUSAR - tempo",IF(ABS(F95-Parametros!$B$4)&lt;=Parametros!$B$5,"LIBERADO",IF(F95&lt;Parametros!$B$4,"CORRIGIR VIA CENTRAL","RECUSAR - fluido")))))</f>
        <v/>
      </c>
      <c r="K95" s="11" t="n"/>
      <c r="L95" s="11" t="n"/>
    </row>
    <row r="96">
      <c r="A96" s="12" t="n"/>
      <c r="B96" s="13" t="n"/>
      <c r="C96" s="14" t="n"/>
      <c r="D96" s="14" t="n"/>
      <c r="E96" s="13">
        <f>IF(OR(C96="",D96=""),"",ROUND((D96-C96)*1440,0))</f>
        <v/>
      </c>
      <c r="F96" s="13" t="n"/>
      <c r="G96" s="13" t="n"/>
      <c r="H96" s="13" t="n"/>
      <c r="I96" s="13" t="n"/>
      <c r="J96" s="13">
        <f>IF(F96="","",IF(OR(G96="Nao",H96="Nao",I96="Sim"),"RECUSAR/REGISTRAR",IF(AND(E96&lt;&gt;"",E96&gt;Parametros!$B$6),"RECUSAR - tempo",IF(ABS(F96-Parametros!$B$4)&lt;=Parametros!$B$5,"LIBERADO",IF(F96&lt;Parametros!$B$4,"CORRIGIR VIA CENTRAL","RECUSAR - fluido")))))</f>
        <v/>
      </c>
      <c r="K96" s="15" t="n"/>
      <c r="L96" s="15" t="n"/>
    </row>
    <row r="97">
      <c r="A97" s="8" t="n"/>
      <c r="B97" s="9" t="n"/>
      <c r="C97" s="10" t="n"/>
      <c r="D97" s="10" t="n"/>
      <c r="E97" s="9">
        <f>IF(OR(C97="",D97=""),"",ROUND((D97-C97)*1440,0))</f>
        <v/>
      </c>
      <c r="F97" s="9" t="n"/>
      <c r="G97" s="9" t="n"/>
      <c r="H97" s="9" t="n"/>
      <c r="I97" s="9" t="n"/>
      <c r="J97" s="9">
        <f>IF(F97="","",IF(OR(G97="Nao",H97="Nao",I97="Sim"),"RECUSAR/REGISTRAR",IF(AND(E97&lt;&gt;"",E97&gt;Parametros!$B$6),"RECUSAR - tempo",IF(ABS(F97-Parametros!$B$4)&lt;=Parametros!$B$5,"LIBERADO",IF(F97&lt;Parametros!$B$4,"CORRIGIR VIA CENTRAL","RECUSAR - fluido")))))</f>
        <v/>
      </c>
      <c r="K97" s="11" t="n"/>
      <c r="L97" s="11" t="n"/>
    </row>
    <row r="98">
      <c r="A98" s="12" t="n"/>
      <c r="B98" s="13" t="n"/>
      <c r="C98" s="14" t="n"/>
      <c r="D98" s="14" t="n"/>
      <c r="E98" s="13">
        <f>IF(OR(C98="",D98=""),"",ROUND((D98-C98)*1440,0))</f>
        <v/>
      </c>
      <c r="F98" s="13" t="n"/>
      <c r="G98" s="13" t="n"/>
      <c r="H98" s="13" t="n"/>
      <c r="I98" s="13" t="n"/>
      <c r="J98" s="13">
        <f>IF(F98="","",IF(OR(G98="Nao",H98="Nao",I98="Sim"),"RECUSAR/REGISTRAR",IF(AND(E98&lt;&gt;"",E98&gt;Parametros!$B$6),"RECUSAR - tempo",IF(ABS(F98-Parametros!$B$4)&lt;=Parametros!$B$5,"LIBERADO",IF(F98&lt;Parametros!$B$4,"CORRIGIR VIA CENTRAL","RECUSAR - fluido")))))</f>
        <v/>
      </c>
      <c r="K98" s="15" t="n"/>
      <c r="L98" s="15" t="n"/>
    </row>
    <row r="99">
      <c r="A99" s="8" t="n"/>
      <c r="B99" s="9" t="n"/>
      <c r="C99" s="10" t="n"/>
      <c r="D99" s="10" t="n"/>
      <c r="E99" s="9">
        <f>IF(OR(C99="",D99=""),"",ROUND((D99-C99)*1440,0))</f>
        <v/>
      </c>
      <c r="F99" s="9" t="n"/>
      <c r="G99" s="9" t="n"/>
      <c r="H99" s="9" t="n"/>
      <c r="I99" s="9" t="n"/>
      <c r="J99" s="9">
        <f>IF(F99="","",IF(OR(G99="Nao",H99="Nao",I99="Sim"),"RECUSAR/REGISTRAR",IF(AND(E99&lt;&gt;"",E99&gt;Parametros!$B$6),"RECUSAR - tempo",IF(ABS(F99-Parametros!$B$4)&lt;=Parametros!$B$5,"LIBERADO",IF(F99&lt;Parametros!$B$4,"CORRIGIR VIA CENTRAL","RECUSAR - fluido")))))</f>
        <v/>
      </c>
      <c r="K99" s="11" t="n"/>
      <c r="L99" s="11" t="n"/>
    </row>
    <row r="100">
      <c r="A100" s="12" t="n"/>
      <c r="B100" s="13" t="n"/>
      <c r="C100" s="14" t="n"/>
      <c r="D100" s="14" t="n"/>
      <c r="E100" s="13">
        <f>IF(OR(C100="",D100=""),"",ROUND((D100-C100)*1440,0))</f>
        <v/>
      </c>
      <c r="F100" s="13" t="n"/>
      <c r="G100" s="13" t="n"/>
      <c r="H100" s="13" t="n"/>
      <c r="I100" s="13" t="n"/>
      <c r="J100" s="13">
        <f>IF(F100="","",IF(OR(G100="Nao",H100="Nao",I100="Sim"),"RECUSAR/REGISTRAR",IF(AND(E100&lt;&gt;"",E100&gt;Parametros!$B$6),"RECUSAR - tempo",IF(ABS(F100-Parametros!$B$4)&lt;=Parametros!$B$5,"LIBERADO",IF(F100&lt;Parametros!$B$4,"CORRIGIR VIA CENTRAL","RECUSAR - fluido")))))</f>
        <v/>
      </c>
      <c r="K100" s="15" t="n"/>
      <c r="L100" s="15" t="n"/>
    </row>
    <row r="101">
      <c r="A101" s="8" t="n"/>
      <c r="B101" s="9" t="n"/>
      <c r="C101" s="10" t="n"/>
      <c r="D101" s="10" t="n"/>
      <c r="E101" s="9">
        <f>IF(OR(C101="",D101=""),"",ROUND((D101-C101)*1440,0))</f>
        <v/>
      </c>
      <c r="F101" s="9" t="n"/>
      <c r="G101" s="9" t="n"/>
      <c r="H101" s="9" t="n"/>
      <c r="I101" s="9" t="n"/>
      <c r="J101" s="9">
        <f>IF(F101="","",IF(OR(G101="Nao",H101="Nao",I101="Sim"),"RECUSAR/REGISTRAR",IF(AND(E101&lt;&gt;"",E101&gt;Parametros!$B$6),"RECUSAR - tempo",IF(ABS(F101-Parametros!$B$4)&lt;=Parametros!$B$5,"LIBERADO",IF(F101&lt;Parametros!$B$4,"CORRIGIR VIA CENTRAL","RECUSAR - fluido")))))</f>
        <v/>
      </c>
      <c r="K101" s="11" t="n"/>
      <c r="L101" s="11" t="n"/>
    </row>
    <row r="102">
      <c r="A102" s="12" t="n"/>
      <c r="B102" s="13" t="n"/>
      <c r="C102" s="14" t="n"/>
      <c r="D102" s="14" t="n"/>
      <c r="E102" s="13">
        <f>IF(OR(C102="",D102=""),"",ROUND((D102-C102)*1440,0))</f>
        <v/>
      </c>
      <c r="F102" s="13" t="n"/>
      <c r="G102" s="13" t="n"/>
      <c r="H102" s="13" t="n"/>
      <c r="I102" s="13" t="n"/>
      <c r="J102" s="13">
        <f>IF(F102="","",IF(OR(G102="Nao",H102="Nao",I102="Sim"),"RECUSAR/REGISTRAR",IF(AND(E102&lt;&gt;"",E102&gt;Parametros!$B$6),"RECUSAR - tempo",IF(ABS(F102-Parametros!$B$4)&lt;=Parametros!$B$5,"LIBERADO",IF(F102&lt;Parametros!$B$4,"CORRIGIR VIA CENTRAL","RECUSAR - fluido")))))</f>
        <v/>
      </c>
      <c r="K102" s="15" t="n"/>
      <c r="L102" s="15" t="n"/>
    </row>
  </sheetData>
  <mergeCells count="1">
    <mergeCell ref="A1:L1"/>
  </mergeCells>
  <conditionalFormatting sqref="J3:J102">
    <cfRule type="cellIs" priority="1" operator="equal" dxfId="0">
      <formula>"LIBERADO"</formula>
    </cfRule>
    <cfRule type="cellIs" priority="2" operator="equal" dxfId="1">
      <formula>"CORRIGIR VIA CENTRAL"</formula>
    </cfRule>
    <cfRule type="cellIs" priority="3" operator="beginsWith" dxfId="2">
      <formula>"RECUSAR"</formula>
    </cfRule>
  </conditionalFormatting>
  <dataValidations count="3">
    <dataValidation sqref="G3:G102" showDropDown="0" showInputMessage="0" showErrorMessage="0" allowBlank="1" type="list">
      <formula1>"Sim,Nao"</formula1>
    </dataValidation>
    <dataValidation sqref="H3:H102" showDropDown="0" showInputMessage="0" showErrorMessage="0" allowBlank="1" type="list">
      <formula1>"Sim,Nao"</formula1>
    </dataValidation>
    <dataValidation sqref="I3:I102" showDropDown="0" showInputMessage="0" showErrorMessage="0" allowBlank="1" type="list">
      <formula1>"Sim,Nao"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9" customWidth="1" min="5" max="5"/>
    <col width="11" customWidth="1" min="6" max="6"/>
    <col width="18" customWidth="1" min="7" max="7"/>
    <col width="24" customWidth="1" min="8" max="8"/>
  </cols>
  <sheetData>
    <row r="1" ht="24" customHeight="1">
      <c r="A1" s="1" t="inlineStr">
        <is>
          <t>CORPOS DE PROVA — moldagem NBR 5738:2015 · ensaio NBR 5739:2018 · aceitação NBR 12655:2022</t>
        </is>
      </c>
    </row>
    <row r="2">
      <c r="A2" s="7" t="inlineStr">
        <is>
          <t>CP id</t>
        </is>
      </c>
      <c r="B2" s="7" t="inlineStr">
        <is>
          <t>NF / caminhão</t>
        </is>
      </c>
      <c r="C2" s="7" t="inlineStr">
        <is>
          <t>Data moldagem</t>
        </is>
      </c>
      <c r="D2" s="7" t="inlineStr">
        <is>
          <t>Peça concretada</t>
        </is>
      </c>
      <c r="E2" s="7" t="inlineStr">
        <is>
          <t>Idade (dias)</t>
        </is>
      </c>
      <c r="F2" s="7" t="inlineStr">
        <is>
          <t>Resultado (MPa)</t>
        </is>
      </c>
      <c r="G2" s="7" t="inlineStr">
        <is>
          <t>Situação (triagem)</t>
        </is>
      </c>
      <c r="H2" s="7" t="inlineStr">
        <is>
          <t>Observações</t>
        </is>
      </c>
    </row>
    <row r="3">
      <c r="A3" s="9" t="n"/>
      <c r="B3" s="9" t="n"/>
      <c r="C3" s="8" t="n"/>
      <c r="D3" s="11" t="n"/>
      <c r="E3" s="9" t="n"/>
      <c r="F3" s="16" t="n"/>
      <c r="G3" s="9">
        <f>IF(F3="","",IF(F3&gt;=Parametros!$B$7,"OK (&gt;= fck)","ALERTA: abaixo do fck - aplicar criterios NBR 12655:2022 / acionar RT"))</f>
        <v/>
      </c>
      <c r="H3" s="11" t="n"/>
    </row>
    <row r="4">
      <c r="A4" s="13" t="n"/>
      <c r="B4" s="13" t="n"/>
      <c r="C4" s="12" t="n"/>
      <c r="D4" s="15" t="n"/>
      <c r="E4" s="13" t="n"/>
      <c r="F4" s="17" t="n"/>
      <c r="G4" s="13">
        <f>IF(F4="","",IF(F4&gt;=Parametros!$B$7,"OK (&gt;= fck)","ALERTA: abaixo do fck - aplicar criterios NBR 12655:2022 / acionar RT"))</f>
        <v/>
      </c>
      <c r="H4" s="15" t="n"/>
    </row>
    <row r="5">
      <c r="A5" s="9" t="n"/>
      <c r="B5" s="9" t="n"/>
      <c r="C5" s="8" t="n"/>
      <c r="D5" s="11" t="n"/>
      <c r="E5" s="9" t="n"/>
      <c r="F5" s="16" t="n"/>
      <c r="G5" s="9">
        <f>IF(F5="","",IF(F5&gt;=Parametros!$B$7,"OK (&gt;= fck)","ALERTA: abaixo do fck - aplicar criterios NBR 12655:2022 / acionar RT"))</f>
        <v/>
      </c>
      <c r="H5" s="11" t="n"/>
    </row>
    <row r="6">
      <c r="A6" s="13" t="n"/>
      <c r="B6" s="13" t="n"/>
      <c r="C6" s="12" t="n"/>
      <c r="D6" s="15" t="n"/>
      <c r="E6" s="13" t="n"/>
      <c r="F6" s="17" t="n"/>
      <c r="G6" s="13">
        <f>IF(F6="","",IF(F6&gt;=Parametros!$B$7,"OK (&gt;= fck)","ALERTA: abaixo do fck - aplicar criterios NBR 12655:2022 / acionar RT"))</f>
        <v/>
      </c>
      <c r="H6" s="15" t="n"/>
    </row>
    <row r="7">
      <c r="A7" s="9" t="n"/>
      <c r="B7" s="9" t="n"/>
      <c r="C7" s="8" t="n"/>
      <c r="D7" s="11" t="n"/>
      <c r="E7" s="9" t="n"/>
      <c r="F7" s="16" t="n"/>
      <c r="G7" s="9">
        <f>IF(F7="","",IF(F7&gt;=Parametros!$B$7,"OK (&gt;= fck)","ALERTA: abaixo do fck - aplicar criterios NBR 12655:2022 / acionar RT"))</f>
        <v/>
      </c>
      <c r="H7" s="11" t="n"/>
    </row>
    <row r="8">
      <c r="A8" s="13" t="n"/>
      <c r="B8" s="13" t="n"/>
      <c r="C8" s="12" t="n"/>
      <c r="D8" s="15" t="n"/>
      <c r="E8" s="13" t="n"/>
      <c r="F8" s="17" t="n"/>
      <c r="G8" s="13">
        <f>IF(F8="","",IF(F8&gt;=Parametros!$B$7,"OK (&gt;= fck)","ALERTA: abaixo do fck - aplicar criterios NBR 12655:2022 / acionar RT"))</f>
        <v/>
      </c>
      <c r="H8" s="15" t="n"/>
    </row>
    <row r="9">
      <c r="A9" s="9" t="n"/>
      <c r="B9" s="9" t="n"/>
      <c r="C9" s="8" t="n"/>
      <c r="D9" s="11" t="n"/>
      <c r="E9" s="9" t="n"/>
      <c r="F9" s="16" t="n"/>
      <c r="G9" s="9">
        <f>IF(F9="","",IF(F9&gt;=Parametros!$B$7,"OK (&gt;= fck)","ALERTA: abaixo do fck - aplicar criterios NBR 12655:2022 / acionar RT"))</f>
        <v/>
      </c>
      <c r="H9" s="11" t="n"/>
    </row>
    <row r="10">
      <c r="A10" s="13" t="n"/>
      <c r="B10" s="13" t="n"/>
      <c r="C10" s="12" t="n"/>
      <c r="D10" s="15" t="n"/>
      <c r="E10" s="13" t="n"/>
      <c r="F10" s="17" t="n"/>
      <c r="G10" s="13">
        <f>IF(F10="","",IF(F10&gt;=Parametros!$B$7,"OK (&gt;= fck)","ALERTA: abaixo do fck - aplicar criterios NBR 12655:2022 / acionar RT"))</f>
        <v/>
      </c>
      <c r="H10" s="15" t="n"/>
    </row>
    <row r="11">
      <c r="A11" s="9" t="n"/>
      <c r="B11" s="9" t="n"/>
      <c r="C11" s="8" t="n"/>
      <c r="D11" s="11" t="n"/>
      <c r="E11" s="9" t="n"/>
      <c r="F11" s="16" t="n"/>
      <c r="G11" s="9">
        <f>IF(F11="","",IF(F11&gt;=Parametros!$B$7,"OK (&gt;= fck)","ALERTA: abaixo do fck - aplicar criterios NBR 12655:2022 / acionar RT"))</f>
        <v/>
      </c>
      <c r="H11" s="11" t="n"/>
    </row>
    <row r="12">
      <c r="A12" s="13" t="n"/>
      <c r="B12" s="13" t="n"/>
      <c r="C12" s="12" t="n"/>
      <c r="D12" s="15" t="n"/>
      <c r="E12" s="13" t="n"/>
      <c r="F12" s="17" t="n"/>
      <c r="G12" s="13">
        <f>IF(F12="","",IF(F12&gt;=Parametros!$B$7,"OK (&gt;= fck)","ALERTA: abaixo do fck - aplicar criterios NBR 12655:2022 / acionar RT"))</f>
        <v/>
      </c>
      <c r="H12" s="15" t="n"/>
    </row>
    <row r="13">
      <c r="A13" s="9" t="n"/>
      <c r="B13" s="9" t="n"/>
      <c r="C13" s="8" t="n"/>
      <c r="D13" s="11" t="n"/>
      <c r="E13" s="9" t="n"/>
      <c r="F13" s="16" t="n"/>
      <c r="G13" s="9">
        <f>IF(F13="","",IF(F13&gt;=Parametros!$B$7,"OK (&gt;= fck)","ALERTA: abaixo do fck - aplicar criterios NBR 12655:2022 / acionar RT"))</f>
        <v/>
      </c>
      <c r="H13" s="11" t="n"/>
    </row>
    <row r="14">
      <c r="A14" s="13" t="n"/>
      <c r="B14" s="13" t="n"/>
      <c r="C14" s="12" t="n"/>
      <c r="D14" s="15" t="n"/>
      <c r="E14" s="13" t="n"/>
      <c r="F14" s="17" t="n"/>
      <c r="G14" s="13">
        <f>IF(F14="","",IF(F14&gt;=Parametros!$B$7,"OK (&gt;= fck)","ALERTA: abaixo do fck - aplicar criterios NBR 12655:2022 / acionar RT"))</f>
        <v/>
      </c>
      <c r="H14" s="15" t="n"/>
    </row>
    <row r="15">
      <c r="A15" s="9" t="n"/>
      <c r="B15" s="9" t="n"/>
      <c r="C15" s="8" t="n"/>
      <c r="D15" s="11" t="n"/>
      <c r="E15" s="9" t="n"/>
      <c r="F15" s="16" t="n"/>
      <c r="G15" s="9">
        <f>IF(F15="","",IF(F15&gt;=Parametros!$B$7,"OK (&gt;= fck)","ALERTA: abaixo do fck - aplicar criterios NBR 12655:2022 / acionar RT"))</f>
        <v/>
      </c>
      <c r="H15" s="11" t="n"/>
    </row>
    <row r="16">
      <c r="A16" s="13" t="n"/>
      <c r="B16" s="13" t="n"/>
      <c r="C16" s="12" t="n"/>
      <c r="D16" s="15" t="n"/>
      <c r="E16" s="13" t="n"/>
      <c r="F16" s="17" t="n"/>
      <c r="G16" s="13">
        <f>IF(F16="","",IF(F16&gt;=Parametros!$B$7,"OK (&gt;= fck)","ALERTA: abaixo do fck - aplicar criterios NBR 12655:2022 / acionar RT"))</f>
        <v/>
      </c>
      <c r="H16" s="15" t="n"/>
    </row>
    <row r="17">
      <c r="A17" s="9" t="n"/>
      <c r="B17" s="9" t="n"/>
      <c r="C17" s="8" t="n"/>
      <c r="D17" s="11" t="n"/>
      <c r="E17" s="9" t="n"/>
      <c r="F17" s="16" t="n"/>
      <c r="G17" s="9">
        <f>IF(F17="","",IF(F17&gt;=Parametros!$B$7,"OK (&gt;= fck)","ALERTA: abaixo do fck - aplicar criterios NBR 12655:2022 / acionar RT"))</f>
        <v/>
      </c>
      <c r="H17" s="11" t="n"/>
    </row>
    <row r="18">
      <c r="A18" s="13" t="n"/>
      <c r="B18" s="13" t="n"/>
      <c r="C18" s="12" t="n"/>
      <c r="D18" s="15" t="n"/>
      <c r="E18" s="13" t="n"/>
      <c r="F18" s="17" t="n"/>
      <c r="G18" s="13">
        <f>IF(F18="","",IF(F18&gt;=Parametros!$B$7,"OK (&gt;= fck)","ALERTA: abaixo do fck - aplicar criterios NBR 12655:2022 / acionar RT"))</f>
        <v/>
      </c>
      <c r="H18" s="15" t="n"/>
    </row>
    <row r="19">
      <c r="A19" s="9" t="n"/>
      <c r="B19" s="9" t="n"/>
      <c r="C19" s="8" t="n"/>
      <c r="D19" s="11" t="n"/>
      <c r="E19" s="9" t="n"/>
      <c r="F19" s="16" t="n"/>
      <c r="G19" s="9">
        <f>IF(F19="","",IF(F19&gt;=Parametros!$B$7,"OK (&gt;= fck)","ALERTA: abaixo do fck - aplicar criterios NBR 12655:2022 / acionar RT"))</f>
        <v/>
      </c>
      <c r="H19" s="11" t="n"/>
    </row>
    <row r="20">
      <c r="A20" s="13" t="n"/>
      <c r="B20" s="13" t="n"/>
      <c r="C20" s="12" t="n"/>
      <c r="D20" s="15" t="n"/>
      <c r="E20" s="13" t="n"/>
      <c r="F20" s="17" t="n"/>
      <c r="G20" s="13">
        <f>IF(F20="","",IF(F20&gt;=Parametros!$B$7,"OK (&gt;= fck)","ALERTA: abaixo do fck - aplicar criterios NBR 12655:2022 / acionar RT"))</f>
        <v/>
      </c>
      <c r="H20" s="15" t="n"/>
    </row>
    <row r="21">
      <c r="A21" s="9" t="n"/>
      <c r="B21" s="9" t="n"/>
      <c r="C21" s="8" t="n"/>
      <c r="D21" s="11" t="n"/>
      <c r="E21" s="9" t="n"/>
      <c r="F21" s="16" t="n"/>
      <c r="G21" s="9">
        <f>IF(F21="","",IF(F21&gt;=Parametros!$B$7,"OK (&gt;= fck)","ALERTA: abaixo do fck - aplicar criterios NBR 12655:2022 / acionar RT"))</f>
        <v/>
      </c>
      <c r="H21" s="11" t="n"/>
    </row>
    <row r="22">
      <c r="A22" s="13" t="n"/>
      <c r="B22" s="13" t="n"/>
      <c r="C22" s="12" t="n"/>
      <c r="D22" s="15" t="n"/>
      <c r="E22" s="13" t="n"/>
      <c r="F22" s="17" t="n"/>
      <c r="G22" s="13">
        <f>IF(F22="","",IF(F22&gt;=Parametros!$B$7,"OK (&gt;= fck)","ALERTA: abaixo do fck - aplicar criterios NBR 12655:2022 / acionar RT"))</f>
        <v/>
      </c>
      <c r="H22" s="15" t="n"/>
    </row>
    <row r="23">
      <c r="A23" s="9" t="n"/>
      <c r="B23" s="9" t="n"/>
      <c r="C23" s="8" t="n"/>
      <c r="D23" s="11" t="n"/>
      <c r="E23" s="9" t="n"/>
      <c r="F23" s="16" t="n"/>
      <c r="G23" s="9">
        <f>IF(F23="","",IF(F23&gt;=Parametros!$B$7,"OK (&gt;= fck)","ALERTA: abaixo do fck - aplicar criterios NBR 12655:2022 / acionar RT"))</f>
        <v/>
      </c>
      <c r="H23" s="11" t="n"/>
    </row>
    <row r="24">
      <c r="A24" s="13" t="n"/>
      <c r="B24" s="13" t="n"/>
      <c r="C24" s="12" t="n"/>
      <c r="D24" s="15" t="n"/>
      <c r="E24" s="13" t="n"/>
      <c r="F24" s="17" t="n"/>
      <c r="G24" s="13">
        <f>IF(F24="","",IF(F24&gt;=Parametros!$B$7,"OK (&gt;= fck)","ALERTA: abaixo do fck - aplicar criterios NBR 12655:2022 / acionar RT"))</f>
        <v/>
      </c>
      <c r="H24" s="15" t="n"/>
    </row>
    <row r="25">
      <c r="A25" s="9" t="n"/>
      <c r="B25" s="9" t="n"/>
      <c r="C25" s="8" t="n"/>
      <c r="D25" s="11" t="n"/>
      <c r="E25" s="9" t="n"/>
      <c r="F25" s="16" t="n"/>
      <c r="G25" s="9">
        <f>IF(F25="","",IF(F25&gt;=Parametros!$B$7,"OK (&gt;= fck)","ALERTA: abaixo do fck - aplicar criterios NBR 12655:2022 / acionar RT"))</f>
        <v/>
      </c>
      <c r="H25" s="11" t="n"/>
    </row>
    <row r="26">
      <c r="A26" s="13" t="n"/>
      <c r="B26" s="13" t="n"/>
      <c r="C26" s="12" t="n"/>
      <c r="D26" s="15" t="n"/>
      <c r="E26" s="13" t="n"/>
      <c r="F26" s="17" t="n"/>
      <c r="G26" s="13">
        <f>IF(F26="","",IF(F26&gt;=Parametros!$B$7,"OK (&gt;= fck)","ALERTA: abaixo do fck - aplicar criterios NBR 12655:2022 / acionar RT"))</f>
        <v/>
      </c>
      <c r="H26" s="15" t="n"/>
    </row>
    <row r="27">
      <c r="A27" s="9" t="n"/>
      <c r="B27" s="9" t="n"/>
      <c r="C27" s="8" t="n"/>
      <c r="D27" s="11" t="n"/>
      <c r="E27" s="9" t="n"/>
      <c r="F27" s="16" t="n"/>
      <c r="G27" s="9">
        <f>IF(F27="","",IF(F27&gt;=Parametros!$B$7,"OK (&gt;= fck)","ALERTA: abaixo do fck - aplicar criterios NBR 12655:2022 / acionar RT"))</f>
        <v/>
      </c>
      <c r="H27" s="11" t="n"/>
    </row>
    <row r="28">
      <c r="A28" s="13" t="n"/>
      <c r="B28" s="13" t="n"/>
      <c r="C28" s="12" t="n"/>
      <c r="D28" s="15" t="n"/>
      <c r="E28" s="13" t="n"/>
      <c r="F28" s="17" t="n"/>
      <c r="G28" s="13">
        <f>IF(F28="","",IF(F28&gt;=Parametros!$B$7,"OK (&gt;= fck)","ALERTA: abaixo do fck - aplicar criterios NBR 12655:2022 / acionar RT"))</f>
        <v/>
      </c>
      <c r="H28" s="15" t="n"/>
    </row>
    <row r="29">
      <c r="A29" s="9" t="n"/>
      <c r="B29" s="9" t="n"/>
      <c r="C29" s="8" t="n"/>
      <c r="D29" s="11" t="n"/>
      <c r="E29" s="9" t="n"/>
      <c r="F29" s="16" t="n"/>
      <c r="G29" s="9">
        <f>IF(F29="","",IF(F29&gt;=Parametros!$B$7,"OK (&gt;= fck)","ALERTA: abaixo do fck - aplicar criterios NBR 12655:2022 / acionar RT"))</f>
        <v/>
      </c>
      <c r="H29" s="11" t="n"/>
    </row>
    <row r="30">
      <c r="A30" s="13" t="n"/>
      <c r="B30" s="13" t="n"/>
      <c r="C30" s="12" t="n"/>
      <c r="D30" s="15" t="n"/>
      <c r="E30" s="13" t="n"/>
      <c r="F30" s="17" t="n"/>
      <c r="G30" s="13">
        <f>IF(F30="","",IF(F30&gt;=Parametros!$B$7,"OK (&gt;= fck)","ALERTA: abaixo do fck - aplicar criterios NBR 12655:2022 / acionar RT"))</f>
        <v/>
      </c>
      <c r="H30" s="15" t="n"/>
    </row>
    <row r="31">
      <c r="A31" s="9" t="n"/>
      <c r="B31" s="9" t="n"/>
      <c r="C31" s="8" t="n"/>
      <c r="D31" s="11" t="n"/>
      <c r="E31" s="9" t="n"/>
      <c r="F31" s="16" t="n"/>
      <c r="G31" s="9">
        <f>IF(F31="","",IF(F31&gt;=Parametros!$B$7,"OK (&gt;= fck)","ALERTA: abaixo do fck - aplicar criterios NBR 12655:2022 / acionar RT"))</f>
        <v/>
      </c>
      <c r="H31" s="11" t="n"/>
    </row>
    <row r="32">
      <c r="A32" s="13" t="n"/>
      <c r="B32" s="13" t="n"/>
      <c r="C32" s="12" t="n"/>
      <c r="D32" s="15" t="n"/>
      <c r="E32" s="13" t="n"/>
      <c r="F32" s="17" t="n"/>
      <c r="G32" s="13">
        <f>IF(F32="","",IF(F32&gt;=Parametros!$B$7,"OK (&gt;= fck)","ALERTA: abaixo do fck - aplicar criterios NBR 12655:2022 / acionar RT"))</f>
        <v/>
      </c>
      <c r="H32" s="15" t="n"/>
    </row>
    <row r="33">
      <c r="A33" s="9" t="n"/>
      <c r="B33" s="9" t="n"/>
      <c r="C33" s="8" t="n"/>
      <c r="D33" s="11" t="n"/>
      <c r="E33" s="9" t="n"/>
      <c r="F33" s="16" t="n"/>
      <c r="G33" s="9">
        <f>IF(F33="","",IF(F33&gt;=Parametros!$B$7,"OK (&gt;= fck)","ALERTA: abaixo do fck - aplicar criterios NBR 12655:2022 / acionar RT"))</f>
        <v/>
      </c>
      <c r="H33" s="11" t="n"/>
    </row>
    <row r="34">
      <c r="A34" s="13" t="n"/>
      <c r="B34" s="13" t="n"/>
      <c r="C34" s="12" t="n"/>
      <c r="D34" s="15" t="n"/>
      <c r="E34" s="13" t="n"/>
      <c r="F34" s="17" t="n"/>
      <c r="G34" s="13">
        <f>IF(F34="","",IF(F34&gt;=Parametros!$B$7,"OK (&gt;= fck)","ALERTA: abaixo do fck - aplicar criterios NBR 12655:2022 / acionar RT"))</f>
        <v/>
      </c>
      <c r="H34" s="15" t="n"/>
    </row>
    <row r="35">
      <c r="A35" s="9" t="n"/>
      <c r="B35" s="9" t="n"/>
      <c r="C35" s="8" t="n"/>
      <c r="D35" s="11" t="n"/>
      <c r="E35" s="9" t="n"/>
      <c r="F35" s="16" t="n"/>
      <c r="G35" s="9">
        <f>IF(F35="","",IF(F35&gt;=Parametros!$B$7,"OK (&gt;= fck)","ALERTA: abaixo do fck - aplicar criterios NBR 12655:2022 / acionar RT"))</f>
        <v/>
      </c>
      <c r="H35" s="11" t="n"/>
    </row>
    <row r="36">
      <c r="A36" s="13" t="n"/>
      <c r="B36" s="13" t="n"/>
      <c r="C36" s="12" t="n"/>
      <c r="D36" s="15" t="n"/>
      <c r="E36" s="13" t="n"/>
      <c r="F36" s="17" t="n"/>
      <c r="G36" s="13">
        <f>IF(F36="","",IF(F36&gt;=Parametros!$B$7,"OK (&gt;= fck)","ALERTA: abaixo do fck - aplicar criterios NBR 12655:2022 / acionar RT"))</f>
        <v/>
      </c>
      <c r="H36" s="15" t="n"/>
    </row>
    <row r="37">
      <c r="A37" s="9" t="n"/>
      <c r="B37" s="9" t="n"/>
      <c r="C37" s="8" t="n"/>
      <c r="D37" s="11" t="n"/>
      <c r="E37" s="9" t="n"/>
      <c r="F37" s="16" t="n"/>
      <c r="G37" s="9">
        <f>IF(F37="","",IF(F37&gt;=Parametros!$B$7,"OK (&gt;= fck)","ALERTA: abaixo do fck - aplicar criterios NBR 12655:2022 / acionar RT"))</f>
        <v/>
      </c>
      <c r="H37" s="11" t="n"/>
    </row>
    <row r="38">
      <c r="A38" s="13" t="n"/>
      <c r="B38" s="13" t="n"/>
      <c r="C38" s="12" t="n"/>
      <c r="D38" s="15" t="n"/>
      <c r="E38" s="13" t="n"/>
      <c r="F38" s="17" t="n"/>
      <c r="G38" s="13">
        <f>IF(F38="","",IF(F38&gt;=Parametros!$B$7,"OK (&gt;= fck)","ALERTA: abaixo do fck - aplicar criterios NBR 12655:2022 / acionar RT"))</f>
        <v/>
      </c>
      <c r="H38" s="15" t="n"/>
    </row>
    <row r="39">
      <c r="A39" s="9" t="n"/>
      <c r="B39" s="9" t="n"/>
      <c r="C39" s="8" t="n"/>
      <c r="D39" s="11" t="n"/>
      <c r="E39" s="9" t="n"/>
      <c r="F39" s="16" t="n"/>
      <c r="G39" s="9">
        <f>IF(F39="","",IF(F39&gt;=Parametros!$B$7,"OK (&gt;= fck)","ALERTA: abaixo do fck - aplicar criterios NBR 12655:2022 / acionar RT"))</f>
        <v/>
      </c>
      <c r="H39" s="11" t="n"/>
    </row>
    <row r="40">
      <c r="A40" s="13" t="n"/>
      <c r="B40" s="13" t="n"/>
      <c r="C40" s="12" t="n"/>
      <c r="D40" s="15" t="n"/>
      <c r="E40" s="13" t="n"/>
      <c r="F40" s="17" t="n"/>
      <c r="G40" s="13">
        <f>IF(F40="","",IF(F40&gt;=Parametros!$B$7,"OK (&gt;= fck)","ALERTA: abaixo do fck - aplicar criterios NBR 12655:2022 / acionar RT"))</f>
        <v/>
      </c>
      <c r="H40" s="15" t="n"/>
    </row>
    <row r="41">
      <c r="A41" s="9" t="n"/>
      <c r="B41" s="9" t="n"/>
      <c r="C41" s="8" t="n"/>
      <c r="D41" s="11" t="n"/>
      <c r="E41" s="9" t="n"/>
      <c r="F41" s="16" t="n"/>
      <c r="G41" s="9">
        <f>IF(F41="","",IF(F41&gt;=Parametros!$B$7,"OK (&gt;= fck)","ALERTA: abaixo do fck - aplicar criterios NBR 12655:2022 / acionar RT"))</f>
        <v/>
      </c>
      <c r="H41" s="11" t="n"/>
    </row>
    <row r="42">
      <c r="A42" s="13" t="n"/>
      <c r="B42" s="13" t="n"/>
      <c r="C42" s="12" t="n"/>
      <c r="D42" s="15" t="n"/>
      <c r="E42" s="13" t="n"/>
      <c r="F42" s="17" t="n"/>
      <c r="G42" s="13">
        <f>IF(F42="","",IF(F42&gt;=Parametros!$B$7,"OK (&gt;= fck)","ALERTA: abaixo do fck - aplicar criterios NBR 12655:2022 / acionar RT"))</f>
        <v/>
      </c>
      <c r="H42" s="15" t="n"/>
    </row>
    <row r="43">
      <c r="A43" s="9" t="n"/>
      <c r="B43" s="9" t="n"/>
      <c r="C43" s="8" t="n"/>
      <c r="D43" s="11" t="n"/>
      <c r="E43" s="9" t="n"/>
      <c r="F43" s="16" t="n"/>
      <c r="G43" s="9">
        <f>IF(F43="","",IF(F43&gt;=Parametros!$B$7,"OK (&gt;= fck)","ALERTA: abaixo do fck - aplicar criterios NBR 12655:2022 / acionar RT"))</f>
        <v/>
      </c>
      <c r="H43" s="11" t="n"/>
    </row>
    <row r="44">
      <c r="A44" s="13" t="n"/>
      <c r="B44" s="13" t="n"/>
      <c r="C44" s="12" t="n"/>
      <c r="D44" s="15" t="n"/>
      <c r="E44" s="13" t="n"/>
      <c r="F44" s="17" t="n"/>
      <c r="G44" s="13">
        <f>IF(F44="","",IF(F44&gt;=Parametros!$B$7,"OK (&gt;= fck)","ALERTA: abaixo do fck - aplicar criterios NBR 12655:2022 / acionar RT"))</f>
        <v/>
      </c>
      <c r="H44" s="15" t="n"/>
    </row>
    <row r="45">
      <c r="A45" s="9" t="n"/>
      <c r="B45" s="9" t="n"/>
      <c r="C45" s="8" t="n"/>
      <c r="D45" s="11" t="n"/>
      <c r="E45" s="9" t="n"/>
      <c r="F45" s="16" t="n"/>
      <c r="G45" s="9">
        <f>IF(F45="","",IF(F45&gt;=Parametros!$B$7,"OK (&gt;= fck)","ALERTA: abaixo do fck - aplicar criterios NBR 12655:2022 / acionar RT"))</f>
        <v/>
      </c>
      <c r="H45" s="11" t="n"/>
    </row>
    <row r="46">
      <c r="A46" s="13" t="n"/>
      <c r="B46" s="13" t="n"/>
      <c r="C46" s="12" t="n"/>
      <c r="D46" s="15" t="n"/>
      <c r="E46" s="13" t="n"/>
      <c r="F46" s="17" t="n"/>
      <c r="G46" s="13">
        <f>IF(F46="","",IF(F46&gt;=Parametros!$B$7,"OK (&gt;= fck)","ALERTA: abaixo do fck - aplicar criterios NBR 12655:2022 / acionar RT"))</f>
        <v/>
      </c>
      <c r="H46" s="15" t="n"/>
    </row>
    <row r="47">
      <c r="A47" s="9" t="n"/>
      <c r="B47" s="9" t="n"/>
      <c r="C47" s="8" t="n"/>
      <c r="D47" s="11" t="n"/>
      <c r="E47" s="9" t="n"/>
      <c r="F47" s="16" t="n"/>
      <c r="G47" s="9">
        <f>IF(F47="","",IF(F47&gt;=Parametros!$B$7,"OK (&gt;= fck)","ALERTA: abaixo do fck - aplicar criterios NBR 12655:2022 / acionar RT"))</f>
        <v/>
      </c>
      <c r="H47" s="11" t="n"/>
    </row>
    <row r="48">
      <c r="A48" s="13" t="n"/>
      <c r="B48" s="13" t="n"/>
      <c r="C48" s="12" t="n"/>
      <c r="D48" s="15" t="n"/>
      <c r="E48" s="13" t="n"/>
      <c r="F48" s="17" t="n"/>
      <c r="G48" s="13">
        <f>IF(F48="","",IF(F48&gt;=Parametros!$B$7,"OK (&gt;= fck)","ALERTA: abaixo do fck - aplicar criterios NBR 12655:2022 / acionar RT"))</f>
        <v/>
      </c>
      <c r="H48" s="15" t="n"/>
    </row>
    <row r="49">
      <c r="A49" s="9" t="n"/>
      <c r="B49" s="9" t="n"/>
      <c r="C49" s="8" t="n"/>
      <c r="D49" s="11" t="n"/>
      <c r="E49" s="9" t="n"/>
      <c r="F49" s="16" t="n"/>
      <c r="G49" s="9">
        <f>IF(F49="","",IF(F49&gt;=Parametros!$B$7,"OK (&gt;= fck)","ALERTA: abaixo do fck - aplicar criterios NBR 12655:2022 / acionar RT"))</f>
        <v/>
      </c>
      <c r="H49" s="11" t="n"/>
    </row>
    <row r="50">
      <c r="A50" s="13" t="n"/>
      <c r="B50" s="13" t="n"/>
      <c r="C50" s="12" t="n"/>
      <c r="D50" s="15" t="n"/>
      <c r="E50" s="13" t="n"/>
      <c r="F50" s="17" t="n"/>
      <c r="G50" s="13">
        <f>IF(F50="","",IF(F50&gt;=Parametros!$B$7,"OK (&gt;= fck)","ALERTA: abaixo do fck - aplicar criterios NBR 12655:2022 / acionar RT"))</f>
        <v/>
      </c>
      <c r="H50" s="15" t="n"/>
    </row>
    <row r="51">
      <c r="A51" s="9" t="n"/>
      <c r="B51" s="9" t="n"/>
      <c r="C51" s="8" t="n"/>
      <c r="D51" s="11" t="n"/>
      <c r="E51" s="9" t="n"/>
      <c r="F51" s="16" t="n"/>
      <c r="G51" s="9">
        <f>IF(F51="","",IF(F51&gt;=Parametros!$B$7,"OK (&gt;= fck)","ALERTA: abaixo do fck - aplicar criterios NBR 12655:2022 / acionar RT"))</f>
        <v/>
      </c>
      <c r="H51" s="11" t="n"/>
    </row>
    <row r="52">
      <c r="A52" s="13" t="n"/>
      <c r="B52" s="13" t="n"/>
      <c r="C52" s="12" t="n"/>
      <c r="D52" s="15" t="n"/>
      <c r="E52" s="13" t="n"/>
      <c r="F52" s="17" t="n"/>
      <c r="G52" s="13">
        <f>IF(F52="","",IF(F52&gt;=Parametros!$B$7,"OK (&gt;= fck)","ALERTA: abaixo do fck - aplicar criterios NBR 12655:2022 / acionar RT"))</f>
        <v/>
      </c>
      <c r="H52" s="15" t="n"/>
    </row>
    <row r="53">
      <c r="A53" s="9" t="n"/>
      <c r="B53" s="9" t="n"/>
      <c r="C53" s="8" t="n"/>
      <c r="D53" s="11" t="n"/>
      <c r="E53" s="9" t="n"/>
      <c r="F53" s="16" t="n"/>
      <c r="G53" s="9">
        <f>IF(F53="","",IF(F53&gt;=Parametros!$B$7,"OK (&gt;= fck)","ALERTA: abaixo do fck - aplicar criterios NBR 12655:2022 / acionar RT"))</f>
        <v/>
      </c>
      <c r="H53" s="11" t="n"/>
    </row>
    <row r="54">
      <c r="A54" s="13" t="n"/>
      <c r="B54" s="13" t="n"/>
      <c r="C54" s="12" t="n"/>
      <c r="D54" s="15" t="n"/>
      <c r="E54" s="13" t="n"/>
      <c r="F54" s="17" t="n"/>
      <c r="G54" s="13">
        <f>IF(F54="","",IF(F54&gt;=Parametros!$B$7,"OK (&gt;= fck)","ALERTA: abaixo do fck - aplicar criterios NBR 12655:2022 / acionar RT"))</f>
        <v/>
      </c>
      <c r="H54" s="15" t="n"/>
    </row>
    <row r="55">
      <c r="A55" s="9" t="n"/>
      <c r="B55" s="9" t="n"/>
      <c r="C55" s="8" t="n"/>
      <c r="D55" s="11" t="n"/>
      <c r="E55" s="9" t="n"/>
      <c r="F55" s="16" t="n"/>
      <c r="G55" s="9">
        <f>IF(F55="","",IF(F55&gt;=Parametros!$B$7,"OK (&gt;= fck)","ALERTA: abaixo do fck - aplicar criterios NBR 12655:2022 / acionar RT"))</f>
        <v/>
      </c>
      <c r="H55" s="11" t="n"/>
    </row>
    <row r="56">
      <c r="A56" s="13" t="n"/>
      <c r="B56" s="13" t="n"/>
      <c r="C56" s="12" t="n"/>
      <c r="D56" s="15" t="n"/>
      <c r="E56" s="13" t="n"/>
      <c r="F56" s="17" t="n"/>
      <c r="G56" s="13">
        <f>IF(F56="","",IF(F56&gt;=Parametros!$B$7,"OK (&gt;= fck)","ALERTA: abaixo do fck - aplicar criterios NBR 12655:2022 / acionar RT"))</f>
        <v/>
      </c>
      <c r="H56" s="15" t="n"/>
    </row>
    <row r="57">
      <c r="A57" s="9" t="n"/>
      <c r="B57" s="9" t="n"/>
      <c r="C57" s="8" t="n"/>
      <c r="D57" s="11" t="n"/>
      <c r="E57" s="9" t="n"/>
      <c r="F57" s="16" t="n"/>
      <c r="G57" s="9">
        <f>IF(F57="","",IF(F57&gt;=Parametros!$B$7,"OK (&gt;= fck)","ALERTA: abaixo do fck - aplicar criterios NBR 12655:2022 / acionar RT"))</f>
        <v/>
      </c>
      <c r="H57" s="11" t="n"/>
    </row>
    <row r="58">
      <c r="A58" s="13" t="n"/>
      <c r="B58" s="13" t="n"/>
      <c r="C58" s="12" t="n"/>
      <c r="D58" s="15" t="n"/>
      <c r="E58" s="13" t="n"/>
      <c r="F58" s="17" t="n"/>
      <c r="G58" s="13">
        <f>IF(F58="","",IF(F58&gt;=Parametros!$B$7,"OK (&gt;= fck)","ALERTA: abaixo do fck - aplicar criterios NBR 12655:2022 / acionar RT"))</f>
        <v/>
      </c>
      <c r="H58" s="15" t="n"/>
    </row>
    <row r="59">
      <c r="A59" s="9" t="n"/>
      <c r="B59" s="9" t="n"/>
      <c r="C59" s="8" t="n"/>
      <c r="D59" s="11" t="n"/>
      <c r="E59" s="9" t="n"/>
      <c r="F59" s="16" t="n"/>
      <c r="G59" s="9">
        <f>IF(F59="","",IF(F59&gt;=Parametros!$B$7,"OK (&gt;= fck)","ALERTA: abaixo do fck - aplicar criterios NBR 12655:2022 / acionar RT"))</f>
        <v/>
      </c>
      <c r="H59" s="11" t="n"/>
    </row>
    <row r="60">
      <c r="A60" s="13" t="n"/>
      <c r="B60" s="13" t="n"/>
      <c r="C60" s="12" t="n"/>
      <c r="D60" s="15" t="n"/>
      <c r="E60" s="13" t="n"/>
      <c r="F60" s="17" t="n"/>
      <c r="G60" s="13">
        <f>IF(F60="","",IF(F60&gt;=Parametros!$B$7,"OK (&gt;= fck)","ALERTA: abaixo do fck - aplicar criterios NBR 12655:2022 / acionar RT"))</f>
        <v/>
      </c>
      <c r="H60" s="15" t="n"/>
    </row>
    <row r="61">
      <c r="A61" s="9" t="n"/>
      <c r="B61" s="9" t="n"/>
      <c r="C61" s="8" t="n"/>
      <c r="D61" s="11" t="n"/>
      <c r="E61" s="9" t="n"/>
      <c r="F61" s="16" t="n"/>
      <c r="G61" s="9">
        <f>IF(F61="","",IF(F61&gt;=Parametros!$B$7,"OK (&gt;= fck)","ALERTA: abaixo do fck - aplicar criterios NBR 12655:2022 / acionar RT"))</f>
        <v/>
      </c>
      <c r="H61" s="11" t="n"/>
    </row>
    <row r="62">
      <c r="A62" s="13" t="n"/>
      <c r="B62" s="13" t="n"/>
      <c r="C62" s="12" t="n"/>
      <c r="D62" s="15" t="n"/>
      <c r="E62" s="13" t="n"/>
      <c r="F62" s="17" t="n"/>
      <c r="G62" s="13">
        <f>IF(F62="","",IF(F62&gt;=Parametros!$B$7,"OK (&gt;= fck)","ALERTA: abaixo do fck - aplicar criterios NBR 12655:2022 / acionar RT"))</f>
        <v/>
      </c>
      <c r="H62" s="15" t="n"/>
    </row>
    <row r="63">
      <c r="A63" s="9" t="n"/>
      <c r="B63" s="9" t="n"/>
      <c r="C63" s="8" t="n"/>
      <c r="D63" s="11" t="n"/>
      <c r="E63" s="9" t="n"/>
      <c r="F63" s="16" t="n"/>
      <c r="G63" s="9">
        <f>IF(F63="","",IF(F63&gt;=Parametros!$B$7,"OK (&gt;= fck)","ALERTA: abaixo do fck - aplicar criterios NBR 12655:2022 / acionar RT"))</f>
        <v/>
      </c>
      <c r="H63" s="11" t="n"/>
    </row>
    <row r="64">
      <c r="A64" s="13" t="n"/>
      <c r="B64" s="13" t="n"/>
      <c r="C64" s="12" t="n"/>
      <c r="D64" s="15" t="n"/>
      <c r="E64" s="13" t="n"/>
      <c r="F64" s="17" t="n"/>
      <c r="G64" s="13">
        <f>IF(F64="","",IF(F64&gt;=Parametros!$B$7,"OK (&gt;= fck)","ALERTA: abaixo do fck - aplicar criterios NBR 12655:2022 / acionar RT"))</f>
        <v/>
      </c>
      <c r="H64" s="15" t="n"/>
    </row>
    <row r="65">
      <c r="A65" s="9" t="n"/>
      <c r="B65" s="9" t="n"/>
      <c r="C65" s="8" t="n"/>
      <c r="D65" s="11" t="n"/>
      <c r="E65" s="9" t="n"/>
      <c r="F65" s="16" t="n"/>
      <c r="G65" s="9">
        <f>IF(F65="","",IF(F65&gt;=Parametros!$B$7,"OK (&gt;= fck)","ALERTA: abaixo do fck - aplicar criterios NBR 12655:2022 / acionar RT"))</f>
        <v/>
      </c>
      <c r="H65" s="11" t="n"/>
    </row>
    <row r="66">
      <c r="A66" s="13" t="n"/>
      <c r="B66" s="13" t="n"/>
      <c r="C66" s="12" t="n"/>
      <c r="D66" s="15" t="n"/>
      <c r="E66" s="13" t="n"/>
      <c r="F66" s="17" t="n"/>
      <c r="G66" s="13">
        <f>IF(F66="","",IF(F66&gt;=Parametros!$B$7,"OK (&gt;= fck)","ALERTA: abaixo do fck - aplicar criterios NBR 12655:2022 / acionar RT"))</f>
        <v/>
      </c>
      <c r="H66" s="15" t="n"/>
    </row>
    <row r="67">
      <c r="A67" s="9" t="n"/>
      <c r="B67" s="9" t="n"/>
      <c r="C67" s="8" t="n"/>
      <c r="D67" s="11" t="n"/>
      <c r="E67" s="9" t="n"/>
      <c r="F67" s="16" t="n"/>
      <c r="G67" s="9">
        <f>IF(F67="","",IF(F67&gt;=Parametros!$B$7,"OK (&gt;= fck)","ALERTA: abaixo do fck - aplicar criterios NBR 12655:2022 / acionar RT"))</f>
        <v/>
      </c>
      <c r="H67" s="11" t="n"/>
    </row>
    <row r="68">
      <c r="A68" s="13" t="n"/>
      <c r="B68" s="13" t="n"/>
      <c r="C68" s="12" t="n"/>
      <c r="D68" s="15" t="n"/>
      <c r="E68" s="13" t="n"/>
      <c r="F68" s="17" t="n"/>
      <c r="G68" s="13">
        <f>IF(F68="","",IF(F68&gt;=Parametros!$B$7,"OK (&gt;= fck)","ALERTA: abaixo do fck - aplicar criterios NBR 12655:2022 / acionar RT"))</f>
        <v/>
      </c>
      <c r="H68" s="15" t="n"/>
    </row>
    <row r="69">
      <c r="A69" s="9" t="n"/>
      <c r="B69" s="9" t="n"/>
      <c r="C69" s="8" t="n"/>
      <c r="D69" s="11" t="n"/>
      <c r="E69" s="9" t="n"/>
      <c r="F69" s="16" t="n"/>
      <c r="G69" s="9">
        <f>IF(F69="","",IF(F69&gt;=Parametros!$B$7,"OK (&gt;= fck)","ALERTA: abaixo do fck - aplicar criterios NBR 12655:2022 / acionar RT"))</f>
        <v/>
      </c>
      <c r="H69" s="11" t="n"/>
    </row>
    <row r="70">
      <c r="A70" s="13" t="n"/>
      <c r="B70" s="13" t="n"/>
      <c r="C70" s="12" t="n"/>
      <c r="D70" s="15" t="n"/>
      <c r="E70" s="13" t="n"/>
      <c r="F70" s="17" t="n"/>
      <c r="G70" s="13">
        <f>IF(F70="","",IF(F70&gt;=Parametros!$B$7,"OK (&gt;= fck)","ALERTA: abaixo do fck - aplicar criterios NBR 12655:2022 / acionar RT"))</f>
        <v/>
      </c>
      <c r="H70" s="15" t="n"/>
    </row>
    <row r="71">
      <c r="A71" s="9" t="n"/>
      <c r="B71" s="9" t="n"/>
      <c r="C71" s="8" t="n"/>
      <c r="D71" s="11" t="n"/>
      <c r="E71" s="9" t="n"/>
      <c r="F71" s="16" t="n"/>
      <c r="G71" s="9">
        <f>IF(F71="","",IF(F71&gt;=Parametros!$B$7,"OK (&gt;= fck)","ALERTA: abaixo do fck - aplicar criterios NBR 12655:2022 / acionar RT"))</f>
        <v/>
      </c>
      <c r="H71" s="11" t="n"/>
    </row>
    <row r="72">
      <c r="A72" s="13" t="n"/>
      <c r="B72" s="13" t="n"/>
      <c r="C72" s="12" t="n"/>
      <c r="D72" s="15" t="n"/>
      <c r="E72" s="13" t="n"/>
      <c r="F72" s="17" t="n"/>
      <c r="G72" s="13">
        <f>IF(F72="","",IF(F72&gt;=Parametros!$B$7,"OK (&gt;= fck)","ALERTA: abaixo do fck - aplicar criterios NBR 12655:2022 / acionar RT"))</f>
        <v/>
      </c>
      <c r="H72" s="15" t="n"/>
    </row>
    <row r="73">
      <c r="A73" s="9" t="n"/>
      <c r="B73" s="9" t="n"/>
      <c r="C73" s="8" t="n"/>
      <c r="D73" s="11" t="n"/>
      <c r="E73" s="9" t="n"/>
      <c r="F73" s="16" t="n"/>
      <c r="G73" s="9">
        <f>IF(F73="","",IF(F73&gt;=Parametros!$B$7,"OK (&gt;= fck)","ALERTA: abaixo do fck - aplicar criterios NBR 12655:2022 / acionar RT"))</f>
        <v/>
      </c>
      <c r="H73" s="11" t="n"/>
    </row>
    <row r="74">
      <c r="A74" s="13" t="n"/>
      <c r="B74" s="13" t="n"/>
      <c r="C74" s="12" t="n"/>
      <c r="D74" s="15" t="n"/>
      <c r="E74" s="13" t="n"/>
      <c r="F74" s="17" t="n"/>
      <c r="G74" s="13">
        <f>IF(F74="","",IF(F74&gt;=Parametros!$B$7,"OK (&gt;= fck)","ALERTA: abaixo do fck - aplicar criterios NBR 12655:2022 / acionar RT"))</f>
        <v/>
      </c>
      <c r="H74" s="15" t="n"/>
    </row>
    <row r="75">
      <c r="A75" s="9" t="n"/>
      <c r="B75" s="9" t="n"/>
      <c r="C75" s="8" t="n"/>
      <c r="D75" s="11" t="n"/>
      <c r="E75" s="9" t="n"/>
      <c r="F75" s="16" t="n"/>
      <c r="G75" s="9">
        <f>IF(F75="","",IF(F75&gt;=Parametros!$B$7,"OK (&gt;= fck)","ALERTA: abaixo do fck - aplicar criterios NBR 12655:2022 / acionar RT"))</f>
        <v/>
      </c>
      <c r="H75" s="11" t="n"/>
    </row>
    <row r="76">
      <c r="A76" s="13" t="n"/>
      <c r="B76" s="13" t="n"/>
      <c r="C76" s="12" t="n"/>
      <c r="D76" s="15" t="n"/>
      <c r="E76" s="13" t="n"/>
      <c r="F76" s="17" t="n"/>
      <c r="G76" s="13">
        <f>IF(F76="","",IF(F76&gt;=Parametros!$B$7,"OK (&gt;= fck)","ALERTA: abaixo do fck - aplicar criterios NBR 12655:2022 / acionar RT"))</f>
        <v/>
      </c>
      <c r="H76" s="15" t="n"/>
    </row>
    <row r="77">
      <c r="A77" s="9" t="n"/>
      <c r="B77" s="9" t="n"/>
      <c r="C77" s="8" t="n"/>
      <c r="D77" s="11" t="n"/>
      <c r="E77" s="9" t="n"/>
      <c r="F77" s="16" t="n"/>
      <c r="G77" s="9">
        <f>IF(F77="","",IF(F77&gt;=Parametros!$B$7,"OK (&gt;= fck)","ALERTA: abaixo do fck - aplicar criterios NBR 12655:2022 / acionar RT"))</f>
        <v/>
      </c>
      <c r="H77" s="11" t="n"/>
    </row>
    <row r="78">
      <c r="A78" s="13" t="n"/>
      <c r="B78" s="13" t="n"/>
      <c r="C78" s="12" t="n"/>
      <c r="D78" s="15" t="n"/>
      <c r="E78" s="13" t="n"/>
      <c r="F78" s="17" t="n"/>
      <c r="G78" s="13">
        <f>IF(F78="","",IF(F78&gt;=Parametros!$B$7,"OK (&gt;= fck)","ALERTA: abaixo do fck - aplicar criterios NBR 12655:2022 / acionar RT"))</f>
        <v/>
      </c>
      <c r="H78" s="15" t="n"/>
    </row>
    <row r="79">
      <c r="A79" s="9" t="n"/>
      <c r="B79" s="9" t="n"/>
      <c r="C79" s="8" t="n"/>
      <c r="D79" s="11" t="n"/>
      <c r="E79" s="9" t="n"/>
      <c r="F79" s="16" t="n"/>
      <c r="G79" s="9">
        <f>IF(F79="","",IF(F79&gt;=Parametros!$B$7,"OK (&gt;= fck)","ALERTA: abaixo do fck - aplicar criterios NBR 12655:2022 / acionar RT"))</f>
        <v/>
      </c>
      <c r="H79" s="11" t="n"/>
    </row>
    <row r="80">
      <c r="A80" s="13" t="n"/>
      <c r="B80" s="13" t="n"/>
      <c r="C80" s="12" t="n"/>
      <c r="D80" s="15" t="n"/>
      <c r="E80" s="13" t="n"/>
      <c r="F80" s="17" t="n"/>
      <c r="G80" s="13">
        <f>IF(F80="","",IF(F80&gt;=Parametros!$B$7,"OK (&gt;= fck)","ALERTA: abaixo do fck - aplicar criterios NBR 12655:2022 / acionar RT"))</f>
        <v/>
      </c>
      <c r="H80" s="15" t="n"/>
    </row>
    <row r="81">
      <c r="A81" s="9" t="n"/>
      <c r="B81" s="9" t="n"/>
      <c r="C81" s="8" t="n"/>
      <c r="D81" s="11" t="n"/>
      <c r="E81" s="9" t="n"/>
      <c r="F81" s="16" t="n"/>
      <c r="G81" s="9">
        <f>IF(F81="","",IF(F81&gt;=Parametros!$B$7,"OK (&gt;= fck)","ALERTA: abaixo do fck - aplicar criterios NBR 12655:2022 / acionar RT"))</f>
        <v/>
      </c>
      <c r="H81" s="11" t="n"/>
    </row>
    <row r="82">
      <c r="A82" s="13" t="n"/>
      <c r="B82" s="13" t="n"/>
      <c r="C82" s="12" t="n"/>
      <c r="D82" s="15" t="n"/>
      <c r="E82" s="13" t="n"/>
      <c r="F82" s="17" t="n"/>
      <c r="G82" s="13">
        <f>IF(F82="","",IF(F82&gt;=Parametros!$B$7,"OK (&gt;= fck)","ALERTA: abaixo do fck - aplicar criterios NBR 12655:2022 / acionar RT"))</f>
        <v/>
      </c>
      <c r="H82" s="15" t="n"/>
    </row>
    <row r="83">
      <c r="A83" s="9" t="n"/>
      <c r="B83" s="9" t="n"/>
      <c r="C83" s="8" t="n"/>
      <c r="D83" s="11" t="n"/>
      <c r="E83" s="9" t="n"/>
      <c r="F83" s="16" t="n"/>
      <c r="G83" s="9">
        <f>IF(F83="","",IF(F83&gt;=Parametros!$B$7,"OK (&gt;= fck)","ALERTA: abaixo do fck - aplicar criterios NBR 12655:2022 / acionar RT"))</f>
        <v/>
      </c>
      <c r="H83" s="11" t="n"/>
    </row>
    <row r="84">
      <c r="A84" s="13" t="n"/>
      <c r="B84" s="13" t="n"/>
      <c r="C84" s="12" t="n"/>
      <c r="D84" s="15" t="n"/>
      <c r="E84" s="13" t="n"/>
      <c r="F84" s="17" t="n"/>
      <c r="G84" s="13">
        <f>IF(F84="","",IF(F84&gt;=Parametros!$B$7,"OK (&gt;= fck)","ALERTA: abaixo do fck - aplicar criterios NBR 12655:2022 / acionar RT"))</f>
        <v/>
      </c>
      <c r="H84" s="15" t="n"/>
    </row>
    <row r="85">
      <c r="A85" s="9" t="n"/>
      <c r="B85" s="9" t="n"/>
      <c r="C85" s="8" t="n"/>
      <c r="D85" s="11" t="n"/>
      <c r="E85" s="9" t="n"/>
      <c r="F85" s="16" t="n"/>
      <c r="G85" s="9">
        <f>IF(F85="","",IF(F85&gt;=Parametros!$B$7,"OK (&gt;= fck)","ALERTA: abaixo do fck - aplicar criterios NBR 12655:2022 / acionar RT"))</f>
        <v/>
      </c>
      <c r="H85" s="11" t="n"/>
    </row>
    <row r="86">
      <c r="A86" s="13" t="n"/>
      <c r="B86" s="13" t="n"/>
      <c r="C86" s="12" t="n"/>
      <c r="D86" s="15" t="n"/>
      <c r="E86" s="13" t="n"/>
      <c r="F86" s="17" t="n"/>
      <c r="G86" s="13">
        <f>IF(F86="","",IF(F86&gt;=Parametros!$B$7,"OK (&gt;= fck)","ALERTA: abaixo do fck - aplicar criterios NBR 12655:2022 / acionar RT"))</f>
        <v/>
      </c>
      <c r="H86" s="15" t="n"/>
    </row>
    <row r="87">
      <c r="A87" s="9" t="n"/>
      <c r="B87" s="9" t="n"/>
      <c r="C87" s="8" t="n"/>
      <c r="D87" s="11" t="n"/>
      <c r="E87" s="9" t="n"/>
      <c r="F87" s="16" t="n"/>
      <c r="G87" s="9">
        <f>IF(F87="","",IF(F87&gt;=Parametros!$B$7,"OK (&gt;= fck)","ALERTA: abaixo do fck - aplicar criterios NBR 12655:2022 / acionar RT"))</f>
        <v/>
      </c>
      <c r="H87" s="11" t="n"/>
    </row>
    <row r="88">
      <c r="A88" s="13" t="n"/>
      <c r="B88" s="13" t="n"/>
      <c r="C88" s="12" t="n"/>
      <c r="D88" s="15" t="n"/>
      <c r="E88" s="13" t="n"/>
      <c r="F88" s="17" t="n"/>
      <c r="G88" s="13">
        <f>IF(F88="","",IF(F88&gt;=Parametros!$B$7,"OK (&gt;= fck)","ALERTA: abaixo do fck - aplicar criterios NBR 12655:2022 / acionar RT"))</f>
        <v/>
      </c>
      <c r="H88" s="15" t="n"/>
    </row>
    <row r="89">
      <c r="A89" s="9" t="n"/>
      <c r="B89" s="9" t="n"/>
      <c r="C89" s="8" t="n"/>
      <c r="D89" s="11" t="n"/>
      <c r="E89" s="9" t="n"/>
      <c r="F89" s="16" t="n"/>
      <c r="G89" s="9">
        <f>IF(F89="","",IF(F89&gt;=Parametros!$B$7,"OK (&gt;= fck)","ALERTA: abaixo do fck - aplicar criterios NBR 12655:2022 / acionar RT"))</f>
        <v/>
      </c>
      <c r="H89" s="11" t="n"/>
    </row>
    <row r="90">
      <c r="A90" s="13" t="n"/>
      <c r="B90" s="13" t="n"/>
      <c r="C90" s="12" t="n"/>
      <c r="D90" s="15" t="n"/>
      <c r="E90" s="13" t="n"/>
      <c r="F90" s="17" t="n"/>
      <c r="G90" s="13">
        <f>IF(F90="","",IF(F90&gt;=Parametros!$B$7,"OK (&gt;= fck)","ALERTA: abaixo do fck - aplicar criterios NBR 12655:2022 / acionar RT"))</f>
        <v/>
      </c>
      <c r="H90" s="15" t="n"/>
    </row>
    <row r="91">
      <c r="A91" s="9" t="n"/>
      <c r="B91" s="9" t="n"/>
      <c r="C91" s="8" t="n"/>
      <c r="D91" s="11" t="n"/>
      <c r="E91" s="9" t="n"/>
      <c r="F91" s="16" t="n"/>
      <c r="G91" s="9">
        <f>IF(F91="","",IF(F91&gt;=Parametros!$B$7,"OK (&gt;= fck)","ALERTA: abaixo do fck - aplicar criterios NBR 12655:2022 / acionar RT"))</f>
        <v/>
      </c>
      <c r="H91" s="11" t="n"/>
    </row>
    <row r="92">
      <c r="A92" s="13" t="n"/>
      <c r="B92" s="13" t="n"/>
      <c r="C92" s="12" t="n"/>
      <c r="D92" s="15" t="n"/>
      <c r="E92" s="13" t="n"/>
      <c r="F92" s="17" t="n"/>
      <c r="G92" s="13">
        <f>IF(F92="","",IF(F92&gt;=Parametros!$B$7,"OK (&gt;= fck)","ALERTA: abaixo do fck - aplicar criterios NBR 12655:2022 / acionar RT"))</f>
        <v/>
      </c>
      <c r="H92" s="15" t="n"/>
    </row>
    <row r="93">
      <c r="A93" s="9" t="n"/>
      <c r="B93" s="9" t="n"/>
      <c r="C93" s="8" t="n"/>
      <c r="D93" s="11" t="n"/>
      <c r="E93" s="9" t="n"/>
      <c r="F93" s="16" t="n"/>
      <c r="G93" s="9">
        <f>IF(F93="","",IF(F93&gt;=Parametros!$B$7,"OK (&gt;= fck)","ALERTA: abaixo do fck - aplicar criterios NBR 12655:2022 / acionar RT"))</f>
        <v/>
      </c>
      <c r="H93" s="11" t="n"/>
    </row>
    <row r="94">
      <c r="A94" s="13" t="n"/>
      <c r="B94" s="13" t="n"/>
      <c r="C94" s="12" t="n"/>
      <c r="D94" s="15" t="n"/>
      <c r="E94" s="13" t="n"/>
      <c r="F94" s="17" t="n"/>
      <c r="G94" s="13">
        <f>IF(F94="","",IF(F94&gt;=Parametros!$B$7,"OK (&gt;= fck)","ALERTA: abaixo do fck - aplicar criterios NBR 12655:2022 / acionar RT"))</f>
        <v/>
      </c>
      <c r="H94" s="15" t="n"/>
    </row>
    <row r="95">
      <c r="A95" s="9" t="n"/>
      <c r="B95" s="9" t="n"/>
      <c r="C95" s="8" t="n"/>
      <c r="D95" s="11" t="n"/>
      <c r="E95" s="9" t="n"/>
      <c r="F95" s="16" t="n"/>
      <c r="G95" s="9">
        <f>IF(F95="","",IF(F95&gt;=Parametros!$B$7,"OK (&gt;= fck)","ALERTA: abaixo do fck - aplicar criterios NBR 12655:2022 / acionar RT"))</f>
        <v/>
      </c>
      <c r="H95" s="11" t="n"/>
    </row>
    <row r="96">
      <c r="A96" s="13" t="n"/>
      <c r="B96" s="13" t="n"/>
      <c r="C96" s="12" t="n"/>
      <c r="D96" s="15" t="n"/>
      <c r="E96" s="13" t="n"/>
      <c r="F96" s="17" t="n"/>
      <c r="G96" s="13">
        <f>IF(F96="","",IF(F96&gt;=Parametros!$B$7,"OK (&gt;= fck)","ALERTA: abaixo do fck - aplicar criterios NBR 12655:2022 / acionar RT"))</f>
        <v/>
      </c>
      <c r="H96" s="15" t="n"/>
    </row>
    <row r="97">
      <c r="A97" s="9" t="n"/>
      <c r="B97" s="9" t="n"/>
      <c r="C97" s="8" t="n"/>
      <c r="D97" s="11" t="n"/>
      <c r="E97" s="9" t="n"/>
      <c r="F97" s="16" t="n"/>
      <c r="G97" s="9">
        <f>IF(F97="","",IF(F97&gt;=Parametros!$B$7,"OK (&gt;= fck)","ALERTA: abaixo do fck - aplicar criterios NBR 12655:2022 / acionar RT"))</f>
        <v/>
      </c>
      <c r="H97" s="11" t="n"/>
    </row>
    <row r="98">
      <c r="A98" s="13" t="n"/>
      <c r="B98" s="13" t="n"/>
      <c r="C98" s="12" t="n"/>
      <c r="D98" s="15" t="n"/>
      <c r="E98" s="13" t="n"/>
      <c r="F98" s="17" t="n"/>
      <c r="G98" s="13">
        <f>IF(F98="","",IF(F98&gt;=Parametros!$B$7,"OK (&gt;= fck)","ALERTA: abaixo do fck - aplicar criterios NBR 12655:2022 / acionar RT"))</f>
        <v/>
      </c>
      <c r="H98" s="15" t="n"/>
    </row>
    <row r="99">
      <c r="A99" s="9" t="n"/>
      <c r="B99" s="9" t="n"/>
      <c r="C99" s="8" t="n"/>
      <c r="D99" s="11" t="n"/>
      <c r="E99" s="9" t="n"/>
      <c r="F99" s="16" t="n"/>
      <c r="G99" s="9">
        <f>IF(F99="","",IF(F99&gt;=Parametros!$B$7,"OK (&gt;= fck)","ALERTA: abaixo do fck - aplicar criterios NBR 12655:2022 / acionar RT"))</f>
        <v/>
      </c>
      <c r="H99" s="11" t="n"/>
    </row>
    <row r="100">
      <c r="A100" s="13" t="n"/>
      <c r="B100" s="13" t="n"/>
      <c r="C100" s="12" t="n"/>
      <c r="D100" s="15" t="n"/>
      <c r="E100" s="13" t="n"/>
      <c r="F100" s="17" t="n"/>
      <c r="G100" s="13">
        <f>IF(F100="","",IF(F100&gt;=Parametros!$B$7,"OK (&gt;= fck)","ALERTA: abaixo do fck - aplicar criterios NBR 12655:2022 / acionar RT"))</f>
        <v/>
      </c>
      <c r="H100" s="15" t="n"/>
    </row>
    <row r="101">
      <c r="A101" s="9" t="n"/>
      <c r="B101" s="9" t="n"/>
      <c r="C101" s="8" t="n"/>
      <c r="D101" s="11" t="n"/>
      <c r="E101" s="9" t="n"/>
      <c r="F101" s="16" t="n"/>
      <c r="G101" s="9">
        <f>IF(F101="","",IF(F101&gt;=Parametros!$B$7,"OK (&gt;= fck)","ALERTA: abaixo do fck - aplicar criterios NBR 12655:2022 / acionar RT"))</f>
        <v/>
      </c>
      <c r="H101" s="11" t="n"/>
    </row>
    <row r="102">
      <c r="A102" s="13" t="n"/>
      <c r="B102" s="13" t="n"/>
      <c r="C102" s="12" t="n"/>
      <c r="D102" s="15" t="n"/>
      <c r="E102" s="13" t="n"/>
      <c r="F102" s="17" t="n"/>
      <c r="G102" s="13">
        <f>IF(F102="","",IF(F102&gt;=Parametros!$B$7,"OK (&gt;= fck)","ALERTA: abaixo do fck - aplicar criterios NBR 12655:2022 / acionar RT"))</f>
        <v/>
      </c>
      <c r="H102" s="15" t="n"/>
    </row>
  </sheetData>
  <mergeCells count="1">
    <mergeCell ref="A1:H1"/>
  </mergeCells>
  <conditionalFormatting sqref="G3:G102">
    <cfRule type="cellIs" priority="1" operator="beginsWith" dxfId="0">
      <formula>"OK"</formula>
    </cfRule>
    <cfRule type="cellIs" priority="2" operator="beginsWith" dxfId="2">
      <formula>"ALERTA"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 ht="26" customHeight="1">
      <c r="A1" s="1" t="inlineStr">
        <is>
          <t>DASHBOARD — Controle do Concreto</t>
        </is>
      </c>
    </row>
    <row r="3">
      <c r="A3" s="18" t="inlineStr">
        <is>
          <t>Caminhões</t>
        </is>
      </c>
      <c r="B3" s="18" t="inlineStr">
        <is>
          <t>Liberados</t>
        </is>
      </c>
      <c r="C3" s="18" t="inlineStr">
        <is>
          <t>Corrigidos</t>
        </is>
      </c>
      <c r="D3" s="18" t="inlineStr">
        <is>
          <t>Recusados</t>
        </is>
      </c>
    </row>
    <row r="4">
      <c r="A4" s="19">
        <f>COUNTA(Recebimento!B3:B102)</f>
        <v/>
      </c>
      <c r="B4" s="20">
        <f>COUNTIF(Recebimento!J3:J102,"LIBERADO")</f>
        <v/>
      </c>
      <c r="C4" s="21">
        <f>COUNTIF(Recebimento!J3:J102,"CORRIGIR VIA CENTRAL")</f>
        <v/>
      </c>
      <c r="D4" s="22">
        <f>COUNTIF(Recebimento!J3:J102,"RECUSAR*")</f>
        <v/>
      </c>
    </row>
    <row r="6">
      <c r="A6" s="18" t="inlineStr">
        <is>
          <t>CPs registrados</t>
        </is>
      </c>
      <c r="B6" s="18" t="inlineStr">
        <is>
          <t>CPs OK</t>
        </is>
      </c>
      <c r="C6" s="18" t="inlineStr">
        <is>
          <t>CPs em alerta</t>
        </is>
      </c>
    </row>
    <row r="7">
      <c r="A7" s="19">
        <f>COUNTA(CPs!A3:A102)</f>
        <v/>
      </c>
      <c r="B7" s="20">
        <f>COUNTIF(CPs!G3:G102,"OK*")</f>
        <v/>
      </c>
      <c r="C7" s="22">
        <f>COUNTIF(CPs!G3:G102,"ALERTA*")</f>
        <v/>
      </c>
    </row>
    <row r="9">
      <c r="A9" s="6" t="inlineStr">
        <is>
          <t>Como usar: uma linha por caminhão no Recebimento (veredito automático a partir dos Parametros); uma linha por CP na aba CPs. A "situação" dos CPs é triagem de alerta — a aceitação definitiva segue os critérios estatísticos da NBR 12655:2022, aplicados pelo responsável técnico.</t>
        </is>
      </c>
    </row>
    <row r="10"/>
    <row r="11"/>
    <row r="13">
      <c r="A13" s="23" t="inlineStr">
        <is>
          <t>Revisado e assinado por Gustavo Domingos — Engenheiro Civil, CREA-PR 140.964-D</t>
        </is>
      </c>
    </row>
  </sheetData>
  <mergeCells count="2">
    <mergeCell ref="A9:E11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2026-07-17T18:50:56Z</dcterms:created>
  <dcterms:modified xmlns:dcterms="http://purl.org/dc/terms/" xmlns:xsi="http://www.w3.org/2001/XMLSchema-instance" xsi:type="dcterms:W3CDTF">2026-07-17T18:50:56Z</dcterms:modified>
</cp:coreProperties>
</file>