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ros" sheetId="1" state="visible" r:id="rId1"/>
    <sheet xmlns:r="http://schemas.openxmlformats.org/officeDocument/2006/relationships" name="Lancamentos" sheetId="2" state="visible" r:id="rId2"/>
    <sheet xmlns:r="http://schemas.openxmlformats.org/officeDocument/2006/relationships" name="Dashbo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10">
    <font>
      <name val="Calibri"/>
      <family val="2"/>
      <color theme="1"/>
      <sz val="11"/>
      <scheme val="minor"/>
    </font>
    <font>
      <name val="Georgia"/>
      <b val="1"/>
      <color rgb="00F5EFE0"/>
      <sz val="15"/>
    </font>
    <font>
      <name val="Calibri"/>
      <b val="1"/>
      <color rgb="00F5EFE0"/>
      <sz val="10"/>
    </font>
    <font>
      <name val="Calibri"/>
      <b val="1"/>
      <color rgb="000E3A34"/>
      <sz val="10"/>
    </font>
    <font>
      <name val="Calibri"/>
      <color rgb="0020211E"/>
      <sz val="10"/>
    </font>
    <font>
      <name val="Calibri"/>
      <i val="1"/>
      <color rgb="006B6B63"/>
      <sz val="8.5"/>
    </font>
    <font>
      <name val="Georgia"/>
      <b val="1"/>
      <color rgb="000E3A34"/>
      <sz val="18"/>
    </font>
    <font>
      <b val="1"/>
      <color rgb="0020211E"/>
    </font>
    <font>
      <b val="1"/>
      <color rgb="00C62828"/>
    </font>
    <font>
      <name val="Calibri"/>
      <b val="1"/>
      <color rgb="00C9A24B"/>
      <sz val="9"/>
    </font>
  </fonts>
  <fills count="9">
    <fill>
      <patternFill/>
    </fill>
    <fill>
      <patternFill patternType="gray125"/>
    </fill>
    <fill>
      <patternFill patternType="solid">
        <fgColor rgb="000E3A34"/>
      </patternFill>
    </fill>
    <fill>
      <patternFill patternType="solid">
        <fgColor rgb="001C5A4E"/>
      </patternFill>
    </fill>
    <fill>
      <patternFill patternType="solid">
        <fgColor rgb="00C9A24B"/>
      </patternFill>
    </fill>
    <fill>
      <patternFill patternType="solid">
        <fgColor rgb="00FBF8F0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>
        <color rgb="00D9D2BE"/>
      </left>
      <right style="thin">
        <color rgb="00D9D2BE"/>
      </right>
      <top style="thin">
        <color rgb="00D9D2BE"/>
      </top>
      <bottom style="thin">
        <color rgb="00D9D2BE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 wrapText="1"/>
    </xf>
    <xf numFmtId="0" fontId="3" fillId="0" borderId="1" pivotButton="0" quotePrefix="0" xfId="0"/>
    <xf numFmtId="2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3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2" fontId="4" fillId="0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2" fontId="4" fillId="5" borderId="1" applyAlignment="1" pivotButton="0" quotePrefix="0" xfId="0">
      <alignment horizontal="center" vertical="center" wrapText="1"/>
    </xf>
    <xf numFmtId="164" fontId="4" fillId="5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1" fontId="6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9" fillId="0" borderId="0" pivotButton="0" quotePrefix="0" xfId="0"/>
  </cellXfs>
  <cellStyles count="1">
    <cellStyle name="Normal" xfId="0" builtinId="0" hidden="0"/>
  </cellStyles>
  <dxfs count="3">
    <dxf>
      <font>
        <b val="1"/>
        <color rgb="00C62828"/>
      </font>
      <fill>
        <patternFill patternType="solid">
          <fgColor rgb="00F4CCCC"/>
        </patternFill>
      </fill>
    </dxf>
    <dxf>
      <font>
        <b val="1"/>
        <color rgb="009C6500"/>
      </font>
      <fill>
        <patternFill patternType="solid">
          <fgColor rgb="00FFF2CC"/>
        </patternFill>
      </fill>
    </dxf>
    <dxf>
      <font>
        <b val="1"/>
        <color rgb="002E7D32"/>
      </font>
      <fill>
        <patternFill patternType="solid">
          <fgColor rgb="00D9EA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Fissuras por gravidade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'Dashboard'!B7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'Dashboard'!$A$8:$A$10</f>
            </numRef>
          </cat>
          <val>
            <numRef>
              <f>'Dashboard'!$B$8:$B$10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Gravidade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Qtde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6</row>
      <rowOff>0</rowOff>
    </from>
    <ext cx="468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40" customWidth="1" min="3" max="3"/>
    <col width="22" customWidth="1" min="4" max="4"/>
  </cols>
  <sheetData>
    <row r="1" ht="26" customHeight="1">
      <c r="A1" s="1" t="inlineStr">
        <is>
          <t>PARÂMETROS DE DECISÃO — ajuste e assine antes de usar</t>
        </is>
      </c>
    </row>
    <row r="3">
      <c r="A3" s="2" t="inlineStr">
        <is>
          <t>Parâmetro</t>
        </is>
      </c>
      <c r="B3" s="2" t="inlineStr">
        <is>
          <t>Valor</t>
        </is>
      </c>
      <c r="C3" s="2" t="inlineStr">
        <is>
          <t>Observação / fonte</t>
        </is>
      </c>
    </row>
    <row r="4">
      <c r="A4" s="3" t="inlineStr">
        <is>
          <t>Limiar de atividade (mm)</t>
        </is>
      </c>
      <c r="B4" s="4" t="n">
        <v>0.1</v>
      </c>
      <c r="C4" s="5" t="inlineStr">
        <is>
          <t>Crescimento de abertura que caracteriza fissura ATIVA no período. [VALIDAR B9]</t>
        </is>
      </c>
    </row>
    <row r="5">
      <c r="A5" s="3" t="inlineStr">
        <is>
          <t>Limite de abertura w_k (mm)</t>
        </is>
      </c>
      <c r="B5" s="4" t="n">
        <v>0.3</v>
      </c>
      <c r="C5" s="5" t="inlineStr">
        <is>
          <t>Abertura de referência (NBR 6118:2023, Tab. 13.4 — CAA II/III). Ajustar à classe de agressividade. [VALIDAR B1]</t>
        </is>
      </c>
    </row>
    <row r="8">
      <c r="A8" s="6" t="inlineStr">
        <is>
          <t>Listas de referência (usadas nos menus suspensos de Lançamentos)</t>
        </is>
      </c>
    </row>
    <row r="9">
      <c r="A9" s="7" t="inlineStr">
        <is>
          <t>Orientacoes</t>
        </is>
      </c>
      <c r="B9" s="7" t="inlineStr">
        <is>
          <t>Locais</t>
        </is>
      </c>
      <c r="C9" s="7" t="inlineStr">
        <is>
          <t>Origens</t>
        </is>
      </c>
      <c r="D9" s="7" t="inlineStr">
        <is>
          <t>SimNao</t>
        </is>
      </c>
    </row>
    <row r="10">
      <c r="A10" s="8" t="inlineStr">
        <is>
          <t>Vertical</t>
        </is>
      </c>
      <c r="B10" s="8" t="inlineStr">
        <is>
          <t>Meio do vao</t>
        </is>
      </c>
      <c r="C10" s="8" t="inlineStr">
        <is>
          <t>Flexao</t>
        </is>
      </c>
      <c r="D10" s="8" t="inlineStr">
        <is>
          <t>Sim</t>
        </is>
      </c>
    </row>
    <row r="11">
      <c r="A11" s="8" t="inlineStr">
        <is>
          <t>Horizontal</t>
        </is>
      </c>
      <c r="B11" s="8" t="inlineStr">
        <is>
          <t>Apoio da viga</t>
        </is>
      </c>
      <c r="C11" s="8" t="inlineStr">
        <is>
          <t>Cisalhamento</t>
        </is>
      </c>
      <c r="D11" s="8" t="inlineStr">
        <is>
          <t>Nao</t>
        </is>
      </c>
    </row>
    <row r="12">
      <c r="A12" s="8" t="inlineStr">
        <is>
          <t>Diagonal 45</t>
        </is>
      </c>
      <c r="B12" s="8" t="inlineStr">
        <is>
          <t>Canto de abertura</t>
        </is>
      </c>
      <c r="C12" s="8" t="inlineStr">
        <is>
          <t>Recalque diferencial</t>
        </is>
      </c>
    </row>
    <row r="13">
      <c r="A13" s="8" t="inlineStr">
        <is>
          <t>Mapeada</t>
        </is>
      </c>
      <c r="B13" s="8" t="inlineStr">
        <is>
          <t>Base da parede</t>
        </is>
      </c>
      <c r="C13" s="8" t="inlineStr">
        <is>
          <t>Retracao</t>
        </is>
      </c>
    </row>
    <row r="14">
      <c r="B14" s="8" t="inlineStr">
        <is>
          <t>Topo da parede</t>
        </is>
      </c>
      <c r="C14" s="8" t="inlineStr">
        <is>
          <t>Expansao alvenaria</t>
        </is>
      </c>
    </row>
    <row r="15">
      <c r="B15" s="8" t="inlineStr">
        <is>
          <t>Pilar</t>
        </is>
      </c>
      <c r="C15" s="8" t="inlineStr">
        <is>
          <t>Umidade</t>
        </is>
      </c>
    </row>
    <row r="16">
      <c r="B16" s="8" t="inlineStr">
        <is>
          <t>Laje</t>
        </is>
      </c>
      <c r="C16" s="8" t="inlineStr">
        <is>
          <t>Concentracao de tensao (canto)</t>
        </is>
      </c>
    </row>
    <row r="17">
      <c r="B17" s="8" t="inlineStr">
        <is>
          <t>Muro</t>
        </is>
      </c>
    </row>
  </sheetData>
  <mergeCells count="2">
    <mergeCell ref="A1:D1"/>
    <mergeCell ref="A8:D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0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20" customWidth="1" min="2" max="2"/>
    <col width="13" customWidth="1" min="3" max="3"/>
    <col width="16" customWidth="1" min="4" max="4"/>
    <col width="11" customWidth="1" min="5" max="5"/>
    <col width="13" customWidth="1" min="6" max="6"/>
    <col width="11" customWidth="1" min="7" max="7"/>
    <col width="13" customWidth="1" min="8" max="8"/>
    <col width="11" customWidth="1" min="9" max="9"/>
    <col width="11" customWidth="1" min="10" max="10"/>
    <col width="18" customWidth="1" min="11" max="11"/>
    <col width="9" customWidth="1" min="12" max="12"/>
    <col width="11" customWidth="1" min="13" max="13"/>
    <col width="11" customWidth="1" min="14" max="14"/>
    <col width="30" customWidth="1" min="15" max="15"/>
    <col width="26" customWidth="1" min="16" max="16"/>
  </cols>
  <sheetData>
    <row r="1" ht="24" customHeight="1">
      <c r="A1" s="1" t="inlineStr">
        <is>
          <t>MONITORAMENTO DE FISSURAS — uma linha por fissura numerada</t>
        </is>
      </c>
    </row>
    <row r="2" ht="30" customHeight="1">
      <c r="A2" s="9" t="inlineStr">
        <is>
          <t>Nº</t>
        </is>
      </c>
      <c r="B2" s="9" t="inlineStr">
        <is>
          <t>Ambiente / Elemento</t>
        </is>
      </c>
      <c r="C2" s="9" t="inlineStr">
        <is>
          <t>Orientação</t>
        </is>
      </c>
      <c r="D2" s="9" t="inlineStr">
        <is>
          <t>Local no elemento</t>
        </is>
      </c>
      <c r="E2" s="9" t="inlineStr">
        <is>
          <t>Abertura inicial (mm)</t>
        </is>
      </c>
      <c r="F2" s="9" t="inlineStr">
        <is>
          <t>Data 1ª medição</t>
        </is>
      </c>
      <c r="G2" s="9" t="inlineStr">
        <is>
          <t>Abertura atual (mm)</t>
        </is>
      </c>
      <c r="H2" s="9" t="inlineStr">
        <is>
          <t>Data última medição</t>
        </is>
      </c>
      <c r="I2" s="9" t="inlineStr">
        <is>
          <t>Δ abertura (mm)</t>
        </is>
      </c>
      <c r="J2" s="9" t="inlineStr">
        <is>
          <t>Situação</t>
        </is>
      </c>
      <c r="K2" s="9" t="inlineStr">
        <is>
          <t>Origem (hipótese)</t>
        </is>
      </c>
      <c r="L2" s="9" t="inlineStr">
        <is>
          <t>Umidade?</t>
        </is>
      </c>
      <c r="M2" s="9" t="inlineStr">
        <is>
          <t>Risco imediato?</t>
        </is>
      </c>
      <c r="N2" s="9" t="inlineStr">
        <is>
          <t>Gravidade</t>
        </is>
      </c>
      <c r="O2" s="9" t="inlineStr">
        <is>
          <t>Encaminhamento</t>
        </is>
      </c>
      <c r="P2" s="9" t="inlineStr">
        <is>
          <t>Observações</t>
        </is>
      </c>
    </row>
    <row r="3">
      <c r="A3" s="10" t="n"/>
      <c r="B3" s="11" t="n"/>
      <c r="C3" s="10" t="n"/>
      <c r="D3" s="10" t="n"/>
      <c r="E3" s="12" t="n"/>
      <c r="F3" s="13" t="n"/>
      <c r="G3" s="12" t="n"/>
      <c r="H3" s="13" t="n"/>
      <c r="I3" s="12">
        <f>IF(G3="","",G3-E3)</f>
        <v/>
      </c>
      <c r="J3" s="10">
        <f>IF(G3="","",IF(ABS(I3)&gt;=Parametros!$B$4,"ATIVA","ESTAVEL"))</f>
        <v/>
      </c>
      <c r="K3" s="11" t="n"/>
      <c r="L3" s="10" t="n"/>
      <c r="M3" s="10" t="n"/>
      <c r="N3" s="10">
        <f>IF(G3="","",IF(M3="Sim","ALTA",IF(AND(OR(K3="Cisalhamento",K3="Recalque diferencial"),J3="ATIVA"),"ALTA",IF(OR(J3="ATIVA",G3&gt;Parametros!$B$5),"MEDIA","BAIXA"))))</f>
        <v/>
      </c>
      <c r="O3" s="11">
        <f>IF(N3="","",IF(N3="ALTA","Escorar/interditar e acionar calculista",IF(N3="MEDIA","Tratar a causa + monitorar","Monitorar e registrar")))</f>
        <v/>
      </c>
      <c r="P3" s="11" t="n"/>
    </row>
    <row r="4">
      <c r="A4" s="14" t="n"/>
      <c r="B4" s="15" t="n"/>
      <c r="C4" s="14" t="n"/>
      <c r="D4" s="14" t="n"/>
      <c r="E4" s="16" t="n"/>
      <c r="F4" s="17" t="n"/>
      <c r="G4" s="16" t="n"/>
      <c r="H4" s="17" t="n"/>
      <c r="I4" s="16">
        <f>IF(G4="","",G4-E4)</f>
        <v/>
      </c>
      <c r="J4" s="14">
        <f>IF(G4="","",IF(ABS(I4)&gt;=Parametros!$B$4,"ATIVA","ESTAVEL"))</f>
        <v/>
      </c>
      <c r="K4" s="15" t="n"/>
      <c r="L4" s="14" t="n"/>
      <c r="M4" s="14" t="n"/>
      <c r="N4" s="14">
        <f>IF(G4="","",IF(M4="Sim","ALTA",IF(AND(OR(K4="Cisalhamento",K4="Recalque diferencial"),J4="ATIVA"),"ALTA",IF(OR(J4="ATIVA",G4&gt;Parametros!$B$5),"MEDIA","BAIXA"))))</f>
        <v/>
      </c>
      <c r="O4" s="15">
        <f>IF(N4="","",IF(N4="ALTA","Escorar/interditar e acionar calculista",IF(N4="MEDIA","Tratar a causa + monitorar","Monitorar e registrar")))</f>
        <v/>
      </c>
      <c r="P4" s="15" t="n"/>
    </row>
    <row r="5">
      <c r="A5" s="10" t="n"/>
      <c r="B5" s="11" t="n"/>
      <c r="C5" s="10" t="n"/>
      <c r="D5" s="10" t="n"/>
      <c r="E5" s="12" t="n"/>
      <c r="F5" s="13" t="n"/>
      <c r="G5" s="12" t="n"/>
      <c r="H5" s="13" t="n"/>
      <c r="I5" s="12">
        <f>IF(G5="","",G5-E5)</f>
        <v/>
      </c>
      <c r="J5" s="10">
        <f>IF(G5="","",IF(ABS(I5)&gt;=Parametros!$B$4,"ATIVA","ESTAVEL"))</f>
        <v/>
      </c>
      <c r="K5" s="11" t="n"/>
      <c r="L5" s="10" t="n"/>
      <c r="M5" s="10" t="n"/>
      <c r="N5" s="10">
        <f>IF(G5="","",IF(M5="Sim","ALTA",IF(AND(OR(K5="Cisalhamento",K5="Recalque diferencial"),J5="ATIVA"),"ALTA",IF(OR(J5="ATIVA",G5&gt;Parametros!$B$5),"MEDIA","BAIXA"))))</f>
        <v/>
      </c>
      <c r="O5" s="11">
        <f>IF(N5="","",IF(N5="ALTA","Escorar/interditar e acionar calculista",IF(N5="MEDIA","Tratar a causa + monitorar","Monitorar e registrar")))</f>
        <v/>
      </c>
      <c r="P5" s="11" t="n"/>
    </row>
    <row r="6">
      <c r="A6" s="14" t="n"/>
      <c r="B6" s="15" t="n"/>
      <c r="C6" s="14" t="n"/>
      <c r="D6" s="14" t="n"/>
      <c r="E6" s="16" t="n"/>
      <c r="F6" s="17" t="n"/>
      <c r="G6" s="16" t="n"/>
      <c r="H6" s="17" t="n"/>
      <c r="I6" s="16">
        <f>IF(G6="","",G6-E6)</f>
        <v/>
      </c>
      <c r="J6" s="14">
        <f>IF(G6="","",IF(ABS(I6)&gt;=Parametros!$B$4,"ATIVA","ESTAVEL"))</f>
        <v/>
      </c>
      <c r="K6" s="15" t="n"/>
      <c r="L6" s="14" t="n"/>
      <c r="M6" s="14" t="n"/>
      <c r="N6" s="14">
        <f>IF(G6="","",IF(M6="Sim","ALTA",IF(AND(OR(K6="Cisalhamento",K6="Recalque diferencial"),J6="ATIVA"),"ALTA",IF(OR(J6="ATIVA",G6&gt;Parametros!$B$5),"MEDIA","BAIXA"))))</f>
        <v/>
      </c>
      <c r="O6" s="15">
        <f>IF(N6="","",IF(N6="ALTA","Escorar/interditar e acionar calculista",IF(N6="MEDIA","Tratar a causa + monitorar","Monitorar e registrar")))</f>
        <v/>
      </c>
      <c r="P6" s="15" t="n"/>
    </row>
    <row r="7">
      <c r="A7" s="10" t="n"/>
      <c r="B7" s="11" t="n"/>
      <c r="C7" s="10" t="n"/>
      <c r="D7" s="10" t="n"/>
      <c r="E7" s="12" t="n"/>
      <c r="F7" s="13" t="n"/>
      <c r="G7" s="12" t="n"/>
      <c r="H7" s="13" t="n"/>
      <c r="I7" s="12">
        <f>IF(G7="","",G7-E7)</f>
        <v/>
      </c>
      <c r="J7" s="10">
        <f>IF(G7="","",IF(ABS(I7)&gt;=Parametros!$B$4,"ATIVA","ESTAVEL"))</f>
        <v/>
      </c>
      <c r="K7" s="11" t="n"/>
      <c r="L7" s="10" t="n"/>
      <c r="M7" s="10" t="n"/>
      <c r="N7" s="10">
        <f>IF(G7="","",IF(M7="Sim","ALTA",IF(AND(OR(K7="Cisalhamento",K7="Recalque diferencial"),J7="ATIVA"),"ALTA",IF(OR(J7="ATIVA",G7&gt;Parametros!$B$5),"MEDIA","BAIXA"))))</f>
        <v/>
      </c>
      <c r="O7" s="11">
        <f>IF(N7="","",IF(N7="ALTA","Escorar/interditar e acionar calculista",IF(N7="MEDIA","Tratar a causa + monitorar","Monitorar e registrar")))</f>
        <v/>
      </c>
      <c r="P7" s="11" t="n"/>
    </row>
    <row r="8">
      <c r="A8" s="14" t="n"/>
      <c r="B8" s="15" t="n"/>
      <c r="C8" s="14" t="n"/>
      <c r="D8" s="14" t="n"/>
      <c r="E8" s="16" t="n"/>
      <c r="F8" s="17" t="n"/>
      <c r="G8" s="16" t="n"/>
      <c r="H8" s="17" t="n"/>
      <c r="I8" s="16">
        <f>IF(G8="","",G8-E8)</f>
        <v/>
      </c>
      <c r="J8" s="14">
        <f>IF(G8="","",IF(ABS(I8)&gt;=Parametros!$B$4,"ATIVA","ESTAVEL"))</f>
        <v/>
      </c>
      <c r="K8" s="15" t="n"/>
      <c r="L8" s="14" t="n"/>
      <c r="M8" s="14" t="n"/>
      <c r="N8" s="14">
        <f>IF(G8="","",IF(M8="Sim","ALTA",IF(AND(OR(K8="Cisalhamento",K8="Recalque diferencial"),J8="ATIVA"),"ALTA",IF(OR(J8="ATIVA",G8&gt;Parametros!$B$5),"MEDIA","BAIXA"))))</f>
        <v/>
      </c>
      <c r="O8" s="15">
        <f>IF(N8="","",IF(N8="ALTA","Escorar/interditar e acionar calculista",IF(N8="MEDIA","Tratar a causa + monitorar","Monitorar e registrar")))</f>
        <v/>
      </c>
      <c r="P8" s="15" t="n"/>
    </row>
    <row r="9">
      <c r="A9" s="10" t="n"/>
      <c r="B9" s="11" t="n"/>
      <c r="C9" s="10" t="n"/>
      <c r="D9" s="10" t="n"/>
      <c r="E9" s="12" t="n"/>
      <c r="F9" s="13" t="n"/>
      <c r="G9" s="12" t="n"/>
      <c r="H9" s="13" t="n"/>
      <c r="I9" s="12">
        <f>IF(G9="","",G9-E9)</f>
        <v/>
      </c>
      <c r="J9" s="10">
        <f>IF(G9="","",IF(ABS(I9)&gt;=Parametros!$B$4,"ATIVA","ESTAVEL"))</f>
        <v/>
      </c>
      <c r="K9" s="11" t="n"/>
      <c r="L9" s="10" t="n"/>
      <c r="M9" s="10" t="n"/>
      <c r="N9" s="10">
        <f>IF(G9="","",IF(M9="Sim","ALTA",IF(AND(OR(K9="Cisalhamento",K9="Recalque diferencial"),J9="ATIVA"),"ALTA",IF(OR(J9="ATIVA",G9&gt;Parametros!$B$5),"MEDIA","BAIXA"))))</f>
        <v/>
      </c>
      <c r="O9" s="11">
        <f>IF(N9="","",IF(N9="ALTA","Escorar/interditar e acionar calculista",IF(N9="MEDIA","Tratar a causa + monitorar","Monitorar e registrar")))</f>
        <v/>
      </c>
      <c r="P9" s="11" t="n"/>
    </row>
    <row r="10">
      <c r="A10" s="14" t="n"/>
      <c r="B10" s="15" t="n"/>
      <c r="C10" s="14" t="n"/>
      <c r="D10" s="14" t="n"/>
      <c r="E10" s="16" t="n"/>
      <c r="F10" s="17" t="n"/>
      <c r="G10" s="16" t="n"/>
      <c r="H10" s="17" t="n"/>
      <c r="I10" s="16">
        <f>IF(G10="","",G10-E10)</f>
        <v/>
      </c>
      <c r="J10" s="14">
        <f>IF(G10="","",IF(ABS(I10)&gt;=Parametros!$B$4,"ATIVA","ESTAVEL"))</f>
        <v/>
      </c>
      <c r="K10" s="15" t="n"/>
      <c r="L10" s="14" t="n"/>
      <c r="M10" s="14" t="n"/>
      <c r="N10" s="14">
        <f>IF(G10="","",IF(M10="Sim","ALTA",IF(AND(OR(K10="Cisalhamento",K10="Recalque diferencial"),J10="ATIVA"),"ALTA",IF(OR(J10="ATIVA",G10&gt;Parametros!$B$5),"MEDIA","BAIXA"))))</f>
        <v/>
      </c>
      <c r="O10" s="15">
        <f>IF(N10="","",IF(N10="ALTA","Escorar/interditar e acionar calculista",IF(N10="MEDIA","Tratar a causa + monitorar","Monitorar e registrar")))</f>
        <v/>
      </c>
      <c r="P10" s="15" t="n"/>
    </row>
    <row r="11">
      <c r="A11" s="10" t="n"/>
      <c r="B11" s="11" t="n"/>
      <c r="C11" s="10" t="n"/>
      <c r="D11" s="10" t="n"/>
      <c r="E11" s="12" t="n"/>
      <c r="F11" s="13" t="n"/>
      <c r="G11" s="12" t="n"/>
      <c r="H11" s="13" t="n"/>
      <c r="I11" s="12">
        <f>IF(G11="","",G11-E11)</f>
        <v/>
      </c>
      <c r="J11" s="10">
        <f>IF(G11="","",IF(ABS(I11)&gt;=Parametros!$B$4,"ATIVA","ESTAVEL"))</f>
        <v/>
      </c>
      <c r="K11" s="11" t="n"/>
      <c r="L11" s="10" t="n"/>
      <c r="M11" s="10" t="n"/>
      <c r="N11" s="10">
        <f>IF(G11="","",IF(M11="Sim","ALTA",IF(AND(OR(K11="Cisalhamento",K11="Recalque diferencial"),J11="ATIVA"),"ALTA",IF(OR(J11="ATIVA",G11&gt;Parametros!$B$5),"MEDIA","BAIXA"))))</f>
        <v/>
      </c>
      <c r="O11" s="11">
        <f>IF(N11="","",IF(N11="ALTA","Escorar/interditar e acionar calculista",IF(N11="MEDIA","Tratar a causa + monitorar","Monitorar e registrar")))</f>
        <v/>
      </c>
      <c r="P11" s="11" t="n"/>
    </row>
    <row r="12">
      <c r="A12" s="14" t="n"/>
      <c r="B12" s="15" t="n"/>
      <c r="C12" s="14" t="n"/>
      <c r="D12" s="14" t="n"/>
      <c r="E12" s="16" t="n"/>
      <c r="F12" s="17" t="n"/>
      <c r="G12" s="16" t="n"/>
      <c r="H12" s="17" t="n"/>
      <c r="I12" s="16">
        <f>IF(G12="","",G12-E12)</f>
        <v/>
      </c>
      <c r="J12" s="14">
        <f>IF(G12="","",IF(ABS(I12)&gt;=Parametros!$B$4,"ATIVA","ESTAVEL"))</f>
        <v/>
      </c>
      <c r="K12" s="15" t="n"/>
      <c r="L12" s="14" t="n"/>
      <c r="M12" s="14" t="n"/>
      <c r="N12" s="14">
        <f>IF(G12="","",IF(M12="Sim","ALTA",IF(AND(OR(K12="Cisalhamento",K12="Recalque diferencial"),J12="ATIVA"),"ALTA",IF(OR(J12="ATIVA",G12&gt;Parametros!$B$5),"MEDIA","BAIXA"))))</f>
        <v/>
      </c>
      <c r="O12" s="15">
        <f>IF(N12="","",IF(N12="ALTA","Escorar/interditar e acionar calculista",IF(N12="MEDIA","Tratar a causa + monitorar","Monitorar e registrar")))</f>
        <v/>
      </c>
      <c r="P12" s="15" t="n"/>
    </row>
    <row r="13">
      <c r="A13" s="10" t="n"/>
      <c r="B13" s="11" t="n"/>
      <c r="C13" s="10" t="n"/>
      <c r="D13" s="10" t="n"/>
      <c r="E13" s="12" t="n"/>
      <c r="F13" s="13" t="n"/>
      <c r="G13" s="12" t="n"/>
      <c r="H13" s="13" t="n"/>
      <c r="I13" s="12">
        <f>IF(G13="","",G13-E13)</f>
        <v/>
      </c>
      <c r="J13" s="10">
        <f>IF(G13="","",IF(ABS(I13)&gt;=Parametros!$B$4,"ATIVA","ESTAVEL"))</f>
        <v/>
      </c>
      <c r="K13" s="11" t="n"/>
      <c r="L13" s="10" t="n"/>
      <c r="M13" s="10" t="n"/>
      <c r="N13" s="10">
        <f>IF(G13="","",IF(M13="Sim","ALTA",IF(AND(OR(K13="Cisalhamento",K13="Recalque diferencial"),J13="ATIVA"),"ALTA",IF(OR(J13="ATIVA",G13&gt;Parametros!$B$5),"MEDIA","BAIXA"))))</f>
        <v/>
      </c>
      <c r="O13" s="11">
        <f>IF(N13="","",IF(N13="ALTA","Escorar/interditar e acionar calculista",IF(N13="MEDIA","Tratar a causa + monitorar","Monitorar e registrar")))</f>
        <v/>
      </c>
      <c r="P13" s="11" t="n"/>
    </row>
    <row r="14">
      <c r="A14" s="14" t="n"/>
      <c r="B14" s="15" t="n"/>
      <c r="C14" s="14" t="n"/>
      <c r="D14" s="14" t="n"/>
      <c r="E14" s="16" t="n"/>
      <c r="F14" s="17" t="n"/>
      <c r="G14" s="16" t="n"/>
      <c r="H14" s="17" t="n"/>
      <c r="I14" s="16">
        <f>IF(G14="","",G14-E14)</f>
        <v/>
      </c>
      <c r="J14" s="14">
        <f>IF(G14="","",IF(ABS(I14)&gt;=Parametros!$B$4,"ATIVA","ESTAVEL"))</f>
        <v/>
      </c>
      <c r="K14" s="15" t="n"/>
      <c r="L14" s="14" t="n"/>
      <c r="M14" s="14" t="n"/>
      <c r="N14" s="14">
        <f>IF(G14="","",IF(M14="Sim","ALTA",IF(AND(OR(K14="Cisalhamento",K14="Recalque diferencial"),J14="ATIVA"),"ALTA",IF(OR(J14="ATIVA",G14&gt;Parametros!$B$5),"MEDIA","BAIXA"))))</f>
        <v/>
      </c>
      <c r="O14" s="15">
        <f>IF(N14="","",IF(N14="ALTA","Escorar/interditar e acionar calculista",IF(N14="MEDIA","Tratar a causa + monitorar","Monitorar e registrar")))</f>
        <v/>
      </c>
      <c r="P14" s="15" t="n"/>
    </row>
    <row r="15">
      <c r="A15" s="10" t="n"/>
      <c r="B15" s="11" t="n"/>
      <c r="C15" s="10" t="n"/>
      <c r="D15" s="10" t="n"/>
      <c r="E15" s="12" t="n"/>
      <c r="F15" s="13" t="n"/>
      <c r="G15" s="12" t="n"/>
      <c r="H15" s="13" t="n"/>
      <c r="I15" s="12">
        <f>IF(G15="","",G15-E15)</f>
        <v/>
      </c>
      <c r="J15" s="10">
        <f>IF(G15="","",IF(ABS(I15)&gt;=Parametros!$B$4,"ATIVA","ESTAVEL"))</f>
        <v/>
      </c>
      <c r="K15" s="11" t="n"/>
      <c r="L15" s="10" t="n"/>
      <c r="M15" s="10" t="n"/>
      <c r="N15" s="10">
        <f>IF(G15="","",IF(M15="Sim","ALTA",IF(AND(OR(K15="Cisalhamento",K15="Recalque diferencial"),J15="ATIVA"),"ALTA",IF(OR(J15="ATIVA",G15&gt;Parametros!$B$5),"MEDIA","BAIXA"))))</f>
        <v/>
      </c>
      <c r="O15" s="11">
        <f>IF(N15="","",IF(N15="ALTA","Escorar/interditar e acionar calculista",IF(N15="MEDIA","Tratar a causa + monitorar","Monitorar e registrar")))</f>
        <v/>
      </c>
      <c r="P15" s="11" t="n"/>
    </row>
    <row r="16">
      <c r="A16" s="14" t="n"/>
      <c r="B16" s="15" t="n"/>
      <c r="C16" s="14" t="n"/>
      <c r="D16" s="14" t="n"/>
      <c r="E16" s="16" t="n"/>
      <c r="F16" s="17" t="n"/>
      <c r="G16" s="16" t="n"/>
      <c r="H16" s="17" t="n"/>
      <c r="I16" s="16">
        <f>IF(G16="","",G16-E16)</f>
        <v/>
      </c>
      <c r="J16" s="14">
        <f>IF(G16="","",IF(ABS(I16)&gt;=Parametros!$B$4,"ATIVA","ESTAVEL"))</f>
        <v/>
      </c>
      <c r="K16" s="15" t="n"/>
      <c r="L16" s="14" t="n"/>
      <c r="M16" s="14" t="n"/>
      <c r="N16" s="14">
        <f>IF(G16="","",IF(M16="Sim","ALTA",IF(AND(OR(K16="Cisalhamento",K16="Recalque diferencial"),J16="ATIVA"),"ALTA",IF(OR(J16="ATIVA",G16&gt;Parametros!$B$5),"MEDIA","BAIXA"))))</f>
        <v/>
      </c>
      <c r="O16" s="15">
        <f>IF(N16="","",IF(N16="ALTA","Escorar/interditar e acionar calculista",IF(N16="MEDIA","Tratar a causa + monitorar","Monitorar e registrar")))</f>
        <v/>
      </c>
      <c r="P16" s="15" t="n"/>
    </row>
    <row r="17">
      <c r="A17" s="10" t="n"/>
      <c r="B17" s="11" t="n"/>
      <c r="C17" s="10" t="n"/>
      <c r="D17" s="10" t="n"/>
      <c r="E17" s="12" t="n"/>
      <c r="F17" s="13" t="n"/>
      <c r="G17" s="12" t="n"/>
      <c r="H17" s="13" t="n"/>
      <c r="I17" s="12">
        <f>IF(G17="","",G17-E17)</f>
        <v/>
      </c>
      <c r="J17" s="10">
        <f>IF(G17="","",IF(ABS(I17)&gt;=Parametros!$B$4,"ATIVA","ESTAVEL"))</f>
        <v/>
      </c>
      <c r="K17" s="11" t="n"/>
      <c r="L17" s="10" t="n"/>
      <c r="M17" s="10" t="n"/>
      <c r="N17" s="10">
        <f>IF(G17="","",IF(M17="Sim","ALTA",IF(AND(OR(K17="Cisalhamento",K17="Recalque diferencial"),J17="ATIVA"),"ALTA",IF(OR(J17="ATIVA",G17&gt;Parametros!$B$5),"MEDIA","BAIXA"))))</f>
        <v/>
      </c>
      <c r="O17" s="11">
        <f>IF(N17="","",IF(N17="ALTA","Escorar/interditar e acionar calculista",IF(N17="MEDIA","Tratar a causa + monitorar","Monitorar e registrar")))</f>
        <v/>
      </c>
      <c r="P17" s="11" t="n"/>
    </row>
    <row r="18">
      <c r="A18" s="14" t="n"/>
      <c r="B18" s="15" t="n"/>
      <c r="C18" s="14" t="n"/>
      <c r="D18" s="14" t="n"/>
      <c r="E18" s="16" t="n"/>
      <c r="F18" s="17" t="n"/>
      <c r="G18" s="16" t="n"/>
      <c r="H18" s="17" t="n"/>
      <c r="I18" s="16">
        <f>IF(G18="","",G18-E18)</f>
        <v/>
      </c>
      <c r="J18" s="14">
        <f>IF(G18="","",IF(ABS(I18)&gt;=Parametros!$B$4,"ATIVA","ESTAVEL"))</f>
        <v/>
      </c>
      <c r="K18" s="15" t="n"/>
      <c r="L18" s="14" t="n"/>
      <c r="M18" s="14" t="n"/>
      <c r="N18" s="14">
        <f>IF(G18="","",IF(M18="Sim","ALTA",IF(AND(OR(K18="Cisalhamento",K18="Recalque diferencial"),J18="ATIVA"),"ALTA",IF(OR(J18="ATIVA",G18&gt;Parametros!$B$5),"MEDIA","BAIXA"))))</f>
        <v/>
      </c>
      <c r="O18" s="15">
        <f>IF(N18="","",IF(N18="ALTA","Escorar/interditar e acionar calculista",IF(N18="MEDIA","Tratar a causa + monitorar","Monitorar e registrar")))</f>
        <v/>
      </c>
      <c r="P18" s="15" t="n"/>
    </row>
    <row r="19">
      <c r="A19" s="10" t="n"/>
      <c r="B19" s="11" t="n"/>
      <c r="C19" s="10" t="n"/>
      <c r="D19" s="10" t="n"/>
      <c r="E19" s="12" t="n"/>
      <c r="F19" s="13" t="n"/>
      <c r="G19" s="12" t="n"/>
      <c r="H19" s="13" t="n"/>
      <c r="I19" s="12">
        <f>IF(G19="","",G19-E19)</f>
        <v/>
      </c>
      <c r="J19" s="10">
        <f>IF(G19="","",IF(ABS(I19)&gt;=Parametros!$B$4,"ATIVA","ESTAVEL"))</f>
        <v/>
      </c>
      <c r="K19" s="11" t="n"/>
      <c r="L19" s="10" t="n"/>
      <c r="M19" s="10" t="n"/>
      <c r="N19" s="10">
        <f>IF(G19="","",IF(M19="Sim","ALTA",IF(AND(OR(K19="Cisalhamento",K19="Recalque diferencial"),J19="ATIVA"),"ALTA",IF(OR(J19="ATIVA",G19&gt;Parametros!$B$5),"MEDIA","BAIXA"))))</f>
        <v/>
      </c>
      <c r="O19" s="11">
        <f>IF(N19="","",IF(N19="ALTA","Escorar/interditar e acionar calculista",IF(N19="MEDIA","Tratar a causa + monitorar","Monitorar e registrar")))</f>
        <v/>
      </c>
      <c r="P19" s="11" t="n"/>
    </row>
    <row r="20">
      <c r="A20" s="14" t="n"/>
      <c r="B20" s="15" t="n"/>
      <c r="C20" s="14" t="n"/>
      <c r="D20" s="14" t="n"/>
      <c r="E20" s="16" t="n"/>
      <c r="F20" s="17" t="n"/>
      <c r="G20" s="16" t="n"/>
      <c r="H20" s="17" t="n"/>
      <c r="I20" s="16">
        <f>IF(G20="","",G20-E20)</f>
        <v/>
      </c>
      <c r="J20" s="14">
        <f>IF(G20="","",IF(ABS(I20)&gt;=Parametros!$B$4,"ATIVA","ESTAVEL"))</f>
        <v/>
      </c>
      <c r="K20" s="15" t="n"/>
      <c r="L20" s="14" t="n"/>
      <c r="M20" s="14" t="n"/>
      <c r="N20" s="14">
        <f>IF(G20="","",IF(M20="Sim","ALTA",IF(AND(OR(K20="Cisalhamento",K20="Recalque diferencial"),J20="ATIVA"),"ALTA",IF(OR(J20="ATIVA",G20&gt;Parametros!$B$5),"MEDIA","BAIXA"))))</f>
        <v/>
      </c>
      <c r="O20" s="15">
        <f>IF(N20="","",IF(N20="ALTA","Escorar/interditar e acionar calculista",IF(N20="MEDIA","Tratar a causa + monitorar","Monitorar e registrar")))</f>
        <v/>
      </c>
      <c r="P20" s="15" t="n"/>
    </row>
    <row r="21">
      <c r="A21" s="10" t="n"/>
      <c r="B21" s="11" t="n"/>
      <c r="C21" s="10" t="n"/>
      <c r="D21" s="10" t="n"/>
      <c r="E21" s="12" t="n"/>
      <c r="F21" s="13" t="n"/>
      <c r="G21" s="12" t="n"/>
      <c r="H21" s="13" t="n"/>
      <c r="I21" s="12">
        <f>IF(G21="","",G21-E21)</f>
        <v/>
      </c>
      <c r="J21" s="10">
        <f>IF(G21="","",IF(ABS(I21)&gt;=Parametros!$B$4,"ATIVA","ESTAVEL"))</f>
        <v/>
      </c>
      <c r="K21" s="11" t="n"/>
      <c r="L21" s="10" t="n"/>
      <c r="M21" s="10" t="n"/>
      <c r="N21" s="10">
        <f>IF(G21="","",IF(M21="Sim","ALTA",IF(AND(OR(K21="Cisalhamento",K21="Recalque diferencial"),J21="ATIVA"),"ALTA",IF(OR(J21="ATIVA",G21&gt;Parametros!$B$5),"MEDIA","BAIXA"))))</f>
        <v/>
      </c>
      <c r="O21" s="11">
        <f>IF(N21="","",IF(N21="ALTA","Escorar/interditar e acionar calculista",IF(N21="MEDIA","Tratar a causa + monitorar","Monitorar e registrar")))</f>
        <v/>
      </c>
      <c r="P21" s="11" t="n"/>
    </row>
    <row r="22">
      <c r="A22" s="14" t="n"/>
      <c r="B22" s="15" t="n"/>
      <c r="C22" s="14" t="n"/>
      <c r="D22" s="14" t="n"/>
      <c r="E22" s="16" t="n"/>
      <c r="F22" s="17" t="n"/>
      <c r="G22" s="16" t="n"/>
      <c r="H22" s="17" t="n"/>
      <c r="I22" s="16">
        <f>IF(G22="","",G22-E22)</f>
        <v/>
      </c>
      <c r="J22" s="14">
        <f>IF(G22="","",IF(ABS(I22)&gt;=Parametros!$B$4,"ATIVA","ESTAVEL"))</f>
        <v/>
      </c>
      <c r="K22" s="15" t="n"/>
      <c r="L22" s="14" t="n"/>
      <c r="M22" s="14" t="n"/>
      <c r="N22" s="14">
        <f>IF(G22="","",IF(M22="Sim","ALTA",IF(AND(OR(K22="Cisalhamento",K22="Recalque diferencial"),J22="ATIVA"),"ALTA",IF(OR(J22="ATIVA",G22&gt;Parametros!$B$5),"MEDIA","BAIXA"))))</f>
        <v/>
      </c>
      <c r="O22" s="15">
        <f>IF(N22="","",IF(N22="ALTA","Escorar/interditar e acionar calculista",IF(N22="MEDIA","Tratar a causa + monitorar","Monitorar e registrar")))</f>
        <v/>
      </c>
      <c r="P22" s="15" t="n"/>
    </row>
    <row r="23">
      <c r="A23" s="10" t="n"/>
      <c r="B23" s="11" t="n"/>
      <c r="C23" s="10" t="n"/>
      <c r="D23" s="10" t="n"/>
      <c r="E23" s="12" t="n"/>
      <c r="F23" s="13" t="n"/>
      <c r="G23" s="12" t="n"/>
      <c r="H23" s="13" t="n"/>
      <c r="I23" s="12">
        <f>IF(G23="","",G23-E23)</f>
        <v/>
      </c>
      <c r="J23" s="10">
        <f>IF(G23="","",IF(ABS(I23)&gt;=Parametros!$B$4,"ATIVA","ESTAVEL"))</f>
        <v/>
      </c>
      <c r="K23" s="11" t="n"/>
      <c r="L23" s="10" t="n"/>
      <c r="M23" s="10" t="n"/>
      <c r="N23" s="10">
        <f>IF(G23="","",IF(M23="Sim","ALTA",IF(AND(OR(K23="Cisalhamento",K23="Recalque diferencial"),J23="ATIVA"),"ALTA",IF(OR(J23="ATIVA",G23&gt;Parametros!$B$5),"MEDIA","BAIXA"))))</f>
        <v/>
      </c>
      <c r="O23" s="11">
        <f>IF(N23="","",IF(N23="ALTA","Escorar/interditar e acionar calculista",IF(N23="MEDIA","Tratar a causa + monitorar","Monitorar e registrar")))</f>
        <v/>
      </c>
      <c r="P23" s="11" t="n"/>
    </row>
    <row r="24">
      <c r="A24" s="14" t="n"/>
      <c r="B24" s="15" t="n"/>
      <c r="C24" s="14" t="n"/>
      <c r="D24" s="14" t="n"/>
      <c r="E24" s="16" t="n"/>
      <c r="F24" s="17" t="n"/>
      <c r="G24" s="16" t="n"/>
      <c r="H24" s="17" t="n"/>
      <c r="I24" s="16">
        <f>IF(G24="","",G24-E24)</f>
        <v/>
      </c>
      <c r="J24" s="14">
        <f>IF(G24="","",IF(ABS(I24)&gt;=Parametros!$B$4,"ATIVA","ESTAVEL"))</f>
        <v/>
      </c>
      <c r="K24" s="15" t="n"/>
      <c r="L24" s="14" t="n"/>
      <c r="M24" s="14" t="n"/>
      <c r="N24" s="14">
        <f>IF(G24="","",IF(M24="Sim","ALTA",IF(AND(OR(K24="Cisalhamento",K24="Recalque diferencial"),J24="ATIVA"),"ALTA",IF(OR(J24="ATIVA",G24&gt;Parametros!$B$5),"MEDIA","BAIXA"))))</f>
        <v/>
      </c>
      <c r="O24" s="15">
        <f>IF(N24="","",IF(N24="ALTA","Escorar/interditar e acionar calculista",IF(N24="MEDIA","Tratar a causa + monitorar","Monitorar e registrar")))</f>
        <v/>
      </c>
      <c r="P24" s="15" t="n"/>
    </row>
    <row r="25">
      <c r="A25" s="10" t="n"/>
      <c r="B25" s="11" t="n"/>
      <c r="C25" s="10" t="n"/>
      <c r="D25" s="10" t="n"/>
      <c r="E25" s="12" t="n"/>
      <c r="F25" s="13" t="n"/>
      <c r="G25" s="12" t="n"/>
      <c r="H25" s="13" t="n"/>
      <c r="I25" s="12">
        <f>IF(G25="","",G25-E25)</f>
        <v/>
      </c>
      <c r="J25" s="10">
        <f>IF(G25="","",IF(ABS(I25)&gt;=Parametros!$B$4,"ATIVA","ESTAVEL"))</f>
        <v/>
      </c>
      <c r="K25" s="11" t="n"/>
      <c r="L25" s="10" t="n"/>
      <c r="M25" s="10" t="n"/>
      <c r="N25" s="10">
        <f>IF(G25="","",IF(M25="Sim","ALTA",IF(AND(OR(K25="Cisalhamento",K25="Recalque diferencial"),J25="ATIVA"),"ALTA",IF(OR(J25="ATIVA",G25&gt;Parametros!$B$5),"MEDIA","BAIXA"))))</f>
        <v/>
      </c>
      <c r="O25" s="11">
        <f>IF(N25="","",IF(N25="ALTA","Escorar/interditar e acionar calculista",IF(N25="MEDIA","Tratar a causa + monitorar","Monitorar e registrar")))</f>
        <v/>
      </c>
      <c r="P25" s="11" t="n"/>
    </row>
    <row r="26">
      <c r="A26" s="14" t="n"/>
      <c r="B26" s="15" t="n"/>
      <c r="C26" s="14" t="n"/>
      <c r="D26" s="14" t="n"/>
      <c r="E26" s="16" t="n"/>
      <c r="F26" s="17" t="n"/>
      <c r="G26" s="16" t="n"/>
      <c r="H26" s="17" t="n"/>
      <c r="I26" s="16">
        <f>IF(G26="","",G26-E26)</f>
        <v/>
      </c>
      <c r="J26" s="14">
        <f>IF(G26="","",IF(ABS(I26)&gt;=Parametros!$B$4,"ATIVA","ESTAVEL"))</f>
        <v/>
      </c>
      <c r="K26" s="15" t="n"/>
      <c r="L26" s="14" t="n"/>
      <c r="M26" s="14" t="n"/>
      <c r="N26" s="14">
        <f>IF(G26="","",IF(M26="Sim","ALTA",IF(AND(OR(K26="Cisalhamento",K26="Recalque diferencial"),J26="ATIVA"),"ALTA",IF(OR(J26="ATIVA",G26&gt;Parametros!$B$5),"MEDIA","BAIXA"))))</f>
        <v/>
      </c>
      <c r="O26" s="15">
        <f>IF(N26="","",IF(N26="ALTA","Escorar/interditar e acionar calculista",IF(N26="MEDIA","Tratar a causa + monitorar","Monitorar e registrar")))</f>
        <v/>
      </c>
      <c r="P26" s="15" t="n"/>
    </row>
    <row r="27">
      <c r="A27" s="10" t="n"/>
      <c r="B27" s="11" t="n"/>
      <c r="C27" s="10" t="n"/>
      <c r="D27" s="10" t="n"/>
      <c r="E27" s="12" t="n"/>
      <c r="F27" s="13" t="n"/>
      <c r="G27" s="12" t="n"/>
      <c r="H27" s="13" t="n"/>
      <c r="I27" s="12">
        <f>IF(G27="","",G27-E27)</f>
        <v/>
      </c>
      <c r="J27" s="10">
        <f>IF(G27="","",IF(ABS(I27)&gt;=Parametros!$B$4,"ATIVA","ESTAVEL"))</f>
        <v/>
      </c>
      <c r="K27" s="11" t="n"/>
      <c r="L27" s="10" t="n"/>
      <c r="M27" s="10" t="n"/>
      <c r="N27" s="10">
        <f>IF(G27="","",IF(M27="Sim","ALTA",IF(AND(OR(K27="Cisalhamento",K27="Recalque diferencial"),J27="ATIVA"),"ALTA",IF(OR(J27="ATIVA",G27&gt;Parametros!$B$5),"MEDIA","BAIXA"))))</f>
        <v/>
      </c>
      <c r="O27" s="11">
        <f>IF(N27="","",IF(N27="ALTA","Escorar/interditar e acionar calculista",IF(N27="MEDIA","Tratar a causa + monitorar","Monitorar e registrar")))</f>
        <v/>
      </c>
      <c r="P27" s="11" t="n"/>
    </row>
    <row r="28">
      <c r="A28" s="14" t="n"/>
      <c r="B28" s="15" t="n"/>
      <c r="C28" s="14" t="n"/>
      <c r="D28" s="14" t="n"/>
      <c r="E28" s="16" t="n"/>
      <c r="F28" s="17" t="n"/>
      <c r="G28" s="16" t="n"/>
      <c r="H28" s="17" t="n"/>
      <c r="I28" s="16">
        <f>IF(G28="","",G28-E28)</f>
        <v/>
      </c>
      <c r="J28" s="14">
        <f>IF(G28="","",IF(ABS(I28)&gt;=Parametros!$B$4,"ATIVA","ESTAVEL"))</f>
        <v/>
      </c>
      <c r="K28" s="15" t="n"/>
      <c r="L28" s="14" t="n"/>
      <c r="M28" s="14" t="n"/>
      <c r="N28" s="14">
        <f>IF(G28="","",IF(M28="Sim","ALTA",IF(AND(OR(K28="Cisalhamento",K28="Recalque diferencial"),J28="ATIVA"),"ALTA",IF(OR(J28="ATIVA",G28&gt;Parametros!$B$5),"MEDIA","BAIXA"))))</f>
        <v/>
      </c>
      <c r="O28" s="15">
        <f>IF(N28="","",IF(N28="ALTA","Escorar/interditar e acionar calculista",IF(N28="MEDIA","Tratar a causa + monitorar","Monitorar e registrar")))</f>
        <v/>
      </c>
      <c r="P28" s="15" t="n"/>
    </row>
    <row r="29">
      <c r="A29" s="10" t="n"/>
      <c r="B29" s="11" t="n"/>
      <c r="C29" s="10" t="n"/>
      <c r="D29" s="10" t="n"/>
      <c r="E29" s="12" t="n"/>
      <c r="F29" s="13" t="n"/>
      <c r="G29" s="12" t="n"/>
      <c r="H29" s="13" t="n"/>
      <c r="I29" s="12">
        <f>IF(G29="","",G29-E29)</f>
        <v/>
      </c>
      <c r="J29" s="10">
        <f>IF(G29="","",IF(ABS(I29)&gt;=Parametros!$B$4,"ATIVA","ESTAVEL"))</f>
        <v/>
      </c>
      <c r="K29" s="11" t="n"/>
      <c r="L29" s="10" t="n"/>
      <c r="M29" s="10" t="n"/>
      <c r="N29" s="10">
        <f>IF(G29="","",IF(M29="Sim","ALTA",IF(AND(OR(K29="Cisalhamento",K29="Recalque diferencial"),J29="ATIVA"),"ALTA",IF(OR(J29="ATIVA",G29&gt;Parametros!$B$5),"MEDIA","BAIXA"))))</f>
        <v/>
      </c>
      <c r="O29" s="11">
        <f>IF(N29="","",IF(N29="ALTA","Escorar/interditar e acionar calculista",IF(N29="MEDIA","Tratar a causa + monitorar","Monitorar e registrar")))</f>
        <v/>
      </c>
      <c r="P29" s="11" t="n"/>
    </row>
    <row r="30">
      <c r="A30" s="14" t="n"/>
      <c r="B30" s="15" t="n"/>
      <c r="C30" s="14" t="n"/>
      <c r="D30" s="14" t="n"/>
      <c r="E30" s="16" t="n"/>
      <c r="F30" s="17" t="n"/>
      <c r="G30" s="16" t="n"/>
      <c r="H30" s="17" t="n"/>
      <c r="I30" s="16">
        <f>IF(G30="","",G30-E30)</f>
        <v/>
      </c>
      <c r="J30" s="14">
        <f>IF(G30="","",IF(ABS(I30)&gt;=Parametros!$B$4,"ATIVA","ESTAVEL"))</f>
        <v/>
      </c>
      <c r="K30" s="15" t="n"/>
      <c r="L30" s="14" t="n"/>
      <c r="M30" s="14" t="n"/>
      <c r="N30" s="14">
        <f>IF(G30="","",IF(M30="Sim","ALTA",IF(AND(OR(K30="Cisalhamento",K30="Recalque diferencial"),J30="ATIVA"),"ALTA",IF(OR(J30="ATIVA",G30&gt;Parametros!$B$5),"MEDIA","BAIXA"))))</f>
        <v/>
      </c>
      <c r="O30" s="15">
        <f>IF(N30="","",IF(N30="ALTA","Escorar/interditar e acionar calculista",IF(N30="MEDIA","Tratar a causa + monitorar","Monitorar e registrar")))</f>
        <v/>
      </c>
      <c r="P30" s="15" t="n"/>
    </row>
    <row r="31">
      <c r="A31" s="10" t="n"/>
      <c r="B31" s="11" t="n"/>
      <c r="C31" s="10" t="n"/>
      <c r="D31" s="10" t="n"/>
      <c r="E31" s="12" t="n"/>
      <c r="F31" s="13" t="n"/>
      <c r="G31" s="12" t="n"/>
      <c r="H31" s="13" t="n"/>
      <c r="I31" s="12">
        <f>IF(G31="","",G31-E31)</f>
        <v/>
      </c>
      <c r="J31" s="10">
        <f>IF(G31="","",IF(ABS(I31)&gt;=Parametros!$B$4,"ATIVA","ESTAVEL"))</f>
        <v/>
      </c>
      <c r="K31" s="11" t="n"/>
      <c r="L31" s="10" t="n"/>
      <c r="M31" s="10" t="n"/>
      <c r="N31" s="10">
        <f>IF(G31="","",IF(M31="Sim","ALTA",IF(AND(OR(K31="Cisalhamento",K31="Recalque diferencial"),J31="ATIVA"),"ALTA",IF(OR(J31="ATIVA",G31&gt;Parametros!$B$5),"MEDIA","BAIXA"))))</f>
        <v/>
      </c>
      <c r="O31" s="11">
        <f>IF(N31="","",IF(N31="ALTA","Escorar/interditar e acionar calculista",IF(N31="MEDIA","Tratar a causa + monitorar","Monitorar e registrar")))</f>
        <v/>
      </c>
      <c r="P31" s="11" t="n"/>
    </row>
    <row r="32">
      <c r="A32" s="14" t="n"/>
      <c r="B32" s="15" t="n"/>
      <c r="C32" s="14" t="n"/>
      <c r="D32" s="14" t="n"/>
      <c r="E32" s="16" t="n"/>
      <c r="F32" s="17" t="n"/>
      <c r="G32" s="16" t="n"/>
      <c r="H32" s="17" t="n"/>
      <c r="I32" s="16">
        <f>IF(G32="","",G32-E32)</f>
        <v/>
      </c>
      <c r="J32" s="14">
        <f>IF(G32="","",IF(ABS(I32)&gt;=Parametros!$B$4,"ATIVA","ESTAVEL"))</f>
        <v/>
      </c>
      <c r="K32" s="15" t="n"/>
      <c r="L32" s="14" t="n"/>
      <c r="M32" s="14" t="n"/>
      <c r="N32" s="14">
        <f>IF(G32="","",IF(M32="Sim","ALTA",IF(AND(OR(K32="Cisalhamento",K32="Recalque diferencial"),J32="ATIVA"),"ALTA",IF(OR(J32="ATIVA",G32&gt;Parametros!$B$5),"MEDIA","BAIXA"))))</f>
        <v/>
      </c>
      <c r="O32" s="15">
        <f>IF(N32="","",IF(N32="ALTA","Escorar/interditar e acionar calculista",IF(N32="MEDIA","Tratar a causa + monitorar","Monitorar e registrar")))</f>
        <v/>
      </c>
      <c r="P32" s="15" t="n"/>
    </row>
    <row r="33">
      <c r="A33" s="10" t="n"/>
      <c r="B33" s="11" t="n"/>
      <c r="C33" s="10" t="n"/>
      <c r="D33" s="10" t="n"/>
      <c r="E33" s="12" t="n"/>
      <c r="F33" s="13" t="n"/>
      <c r="G33" s="12" t="n"/>
      <c r="H33" s="13" t="n"/>
      <c r="I33" s="12">
        <f>IF(G33="","",G33-E33)</f>
        <v/>
      </c>
      <c r="J33" s="10">
        <f>IF(G33="","",IF(ABS(I33)&gt;=Parametros!$B$4,"ATIVA","ESTAVEL"))</f>
        <v/>
      </c>
      <c r="K33" s="11" t="n"/>
      <c r="L33" s="10" t="n"/>
      <c r="M33" s="10" t="n"/>
      <c r="N33" s="10">
        <f>IF(G33="","",IF(M33="Sim","ALTA",IF(AND(OR(K33="Cisalhamento",K33="Recalque diferencial"),J33="ATIVA"),"ALTA",IF(OR(J33="ATIVA",G33&gt;Parametros!$B$5),"MEDIA","BAIXA"))))</f>
        <v/>
      </c>
      <c r="O33" s="11">
        <f>IF(N33="","",IF(N33="ALTA","Escorar/interditar e acionar calculista",IF(N33="MEDIA","Tratar a causa + monitorar","Monitorar e registrar")))</f>
        <v/>
      </c>
      <c r="P33" s="11" t="n"/>
    </row>
    <row r="34">
      <c r="A34" s="14" t="n"/>
      <c r="B34" s="15" t="n"/>
      <c r="C34" s="14" t="n"/>
      <c r="D34" s="14" t="n"/>
      <c r="E34" s="16" t="n"/>
      <c r="F34" s="17" t="n"/>
      <c r="G34" s="16" t="n"/>
      <c r="H34" s="17" t="n"/>
      <c r="I34" s="16">
        <f>IF(G34="","",G34-E34)</f>
        <v/>
      </c>
      <c r="J34" s="14">
        <f>IF(G34="","",IF(ABS(I34)&gt;=Parametros!$B$4,"ATIVA","ESTAVEL"))</f>
        <v/>
      </c>
      <c r="K34" s="15" t="n"/>
      <c r="L34" s="14" t="n"/>
      <c r="M34" s="14" t="n"/>
      <c r="N34" s="14">
        <f>IF(G34="","",IF(M34="Sim","ALTA",IF(AND(OR(K34="Cisalhamento",K34="Recalque diferencial"),J34="ATIVA"),"ALTA",IF(OR(J34="ATIVA",G34&gt;Parametros!$B$5),"MEDIA","BAIXA"))))</f>
        <v/>
      </c>
      <c r="O34" s="15">
        <f>IF(N34="","",IF(N34="ALTA","Escorar/interditar e acionar calculista",IF(N34="MEDIA","Tratar a causa + monitorar","Monitorar e registrar")))</f>
        <v/>
      </c>
      <c r="P34" s="15" t="n"/>
    </row>
    <row r="35">
      <c r="A35" s="10" t="n"/>
      <c r="B35" s="11" t="n"/>
      <c r="C35" s="10" t="n"/>
      <c r="D35" s="10" t="n"/>
      <c r="E35" s="12" t="n"/>
      <c r="F35" s="13" t="n"/>
      <c r="G35" s="12" t="n"/>
      <c r="H35" s="13" t="n"/>
      <c r="I35" s="12">
        <f>IF(G35="","",G35-E35)</f>
        <v/>
      </c>
      <c r="J35" s="10">
        <f>IF(G35="","",IF(ABS(I35)&gt;=Parametros!$B$4,"ATIVA","ESTAVEL"))</f>
        <v/>
      </c>
      <c r="K35" s="11" t="n"/>
      <c r="L35" s="10" t="n"/>
      <c r="M35" s="10" t="n"/>
      <c r="N35" s="10">
        <f>IF(G35="","",IF(M35="Sim","ALTA",IF(AND(OR(K35="Cisalhamento",K35="Recalque diferencial"),J35="ATIVA"),"ALTA",IF(OR(J35="ATIVA",G35&gt;Parametros!$B$5),"MEDIA","BAIXA"))))</f>
        <v/>
      </c>
      <c r="O35" s="11">
        <f>IF(N35="","",IF(N35="ALTA","Escorar/interditar e acionar calculista",IF(N35="MEDIA","Tratar a causa + monitorar","Monitorar e registrar")))</f>
        <v/>
      </c>
      <c r="P35" s="11" t="n"/>
    </row>
    <row r="36">
      <c r="A36" s="14" t="n"/>
      <c r="B36" s="15" t="n"/>
      <c r="C36" s="14" t="n"/>
      <c r="D36" s="14" t="n"/>
      <c r="E36" s="16" t="n"/>
      <c r="F36" s="17" t="n"/>
      <c r="G36" s="16" t="n"/>
      <c r="H36" s="17" t="n"/>
      <c r="I36" s="16">
        <f>IF(G36="","",G36-E36)</f>
        <v/>
      </c>
      <c r="J36" s="14">
        <f>IF(G36="","",IF(ABS(I36)&gt;=Parametros!$B$4,"ATIVA","ESTAVEL"))</f>
        <v/>
      </c>
      <c r="K36" s="15" t="n"/>
      <c r="L36" s="14" t="n"/>
      <c r="M36" s="14" t="n"/>
      <c r="N36" s="14">
        <f>IF(G36="","",IF(M36="Sim","ALTA",IF(AND(OR(K36="Cisalhamento",K36="Recalque diferencial"),J36="ATIVA"),"ALTA",IF(OR(J36="ATIVA",G36&gt;Parametros!$B$5),"MEDIA","BAIXA"))))</f>
        <v/>
      </c>
      <c r="O36" s="15">
        <f>IF(N36="","",IF(N36="ALTA","Escorar/interditar e acionar calculista",IF(N36="MEDIA","Tratar a causa + monitorar","Monitorar e registrar")))</f>
        <v/>
      </c>
      <c r="P36" s="15" t="n"/>
    </row>
    <row r="37">
      <c r="A37" s="10" t="n"/>
      <c r="B37" s="11" t="n"/>
      <c r="C37" s="10" t="n"/>
      <c r="D37" s="10" t="n"/>
      <c r="E37" s="12" t="n"/>
      <c r="F37" s="13" t="n"/>
      <c r="G37" s="12" t="n"/>
      <c r="H37" s="13" t="n"/>
      <c r="I37" s="12">
        <f>IF(G37="","",G37-E37)</f>
        <v/>
      </c>
      <c r="J37" s="10">
        <f>IF(G37="","",IF(ABS(I37)&gt;=Parametros!$B$4,"ATIVA","ESTAVEL"))</f>
        <v/>
      </c>
      <c r="K37" s="11" t="n"/>
      <c r="L37" s="10" t="n"/>
      <c r="M37" s="10" t="n"/>
      <c r="N37" s="10">
        <f>IF(G37="","",IF(M37="Sim","ALTA",IF(AND(OR(K37="Cisalhamento",K37="Recalque diferencial"),J37="ATIVA"),"ALTA",IF(OR(J37="ATIVA",G37&gt;Parametros!$B$5),"MEDIA","BAIXA"))))</f>
        <v/>
      </c>
      <c r="O37" s="11">
        <f>IF(N37="","",IF(N37="ALTA","Escorar/interditar e acionar calculista",IF(N37="MEDIA","Tratar a causa + monitorar","Monitorar e registrar")))</f>
        <v/>
      </c>
      <c r="P37" s="11" t="n"/>
    </row>
    <row r="38">
      <c r="A38" s="14" t="n"/>
      <c r="B38" s="15" t="n"/>
      <c r="C38" s="14" t="n"/>
      <c r="D38" s="14" t="n"/>
      <c r="E38" s="16" t="n"/>
      <c r="F38" s="17" t="n"/>
      <c r="G38" s="16" t="n"/>
      <c r="H38" s="17" t="n"/>
      <c r="I38" s="16">
        <f>IF(G38="","",G38-E38)</f>
        <v/>
      </c>
      <c r="J38" s="14">
        <f>IF(G38="","",IF(ABS(I38)&gt;=Parametros!$B$4,"ATIVA","ESTAVEL"))</f>
        <v/>
      </c>
      <c r="K38" s="15" t="n"/>
      <c r="L38" s="14" t="n"/>
      <c r="M38" s="14" t="n"/>
      <c r="N38" s="14">
        <f>IF(G38="","",IF(M38="Sim","ALTA",IF(AND(OR(K38="Cisalhamento",K38="Recalque diferencial"),J38="ATIVA"),"ALTA",IF(OR(J38="ATIVA",G38&gt;Parametros!$B$5),"MEDIA","BAIXA"))))</f>
        <v/>
      </c>
      <c r="O38" s="15">
        <f>IF(N38="","",IF(N38="ALTA","Escorar/interditar e acionar calculista",IF(N38="MEDIA","Tratar a causa + monitorar","Monitorar e registrar")))</f>
        <v/>
      </c>
      <c r="P38" s="15" t="n"/>
    </row>
    <row r="39">
      <c r="A39" s="10" t="n"/>
      <c r="B39" s="11" t="n"/>
      <c r="C39" s="10" t="n"/>
      <c r="D39" s="10" t="n"/>
      <c r="E39" s="12" t="n"/>
      <c r="F39" s="13" t="n"/>
      <c r="G39" s="12" t="n"/>
      <c r="H39" s="13" t="n"/>
      <c r="I39" s="12">
        <f>IF(G39="","",G39-E39)</f>
        <v/>
      </c>
      <c r="J39" s="10">
        <f>IF(G39="","",IF(ABS(I39)&gt;=Parametros!$B$4,"ATIVA","ESTAVEL"))</f>
        <v/>
      </c>
      <c r="K39" s="11" t="n"/>
      <c r="L39" s="10" t="n"/>
      <c r="M39" s="10" t="n"/>
      <c r="N39" s="10">
        <f>IF(G39="","",IF(M39="Sim","ALTA",IF(AND(OR(K39="Cisalhamento",K39="Recalque diferencial"),J39="ATIVA"),"ALTA",IF(OR(J39="ATIVA",G39&gt;Parametros!$B$5),"MEDIA","BAIXA"))))</f>
        <v/>
      </c>
      <c r="O39" s="11">
        <f>IF(N39="","",IF(N39="ALTA","Escorar/interditar e acionar calculista",IF(N39="MEDIA","Tratar a causa + monitorar","Monitorar e registrar")))</f>
        <v/>
      </c>
      <c r="P39" s="11" t="n"/>
    </row>
    <row r="40">
      <c r="A40" s="14" t="n"/>
      <c r="B40" s="15" t="n"/>
      <c r="C40" s="14" t="n"/>
      <c r="D40" s="14" t="n"/>
      <c r="E40" s="16" t="n"/>
      <c r="F40" s="17" t="n"/>
      <c r="G40" s="16" t="n"/>
      <c r="H40" s="17" t="n"/>
      <c r="I40" s="16">
        <f>IF(G40="","",G40-E40)</f>
        <v/>
      </c>
      <c r="J40" s="14">
        <f>IF(G40="","",IF(ABS(I40)&gt;=Parametros!$B$4,"ATIVA","ESTAVEL"))</f>
        <v/>
      </c>
      <c r="K40" s="15" t="n"/>
      <c r="L40" s="14" t="n"/>
      <c r="M40" s="14" t="n"/>
      <c r="N40" s="14">
        <f>IF(G40="","",IF(M40="Sim","ALTA",IF(AND(OR(K40="Cisalhamento",K40="Recalque diferencial"),J40="ATIVA"),"ALTA",IF(OR(J40="ATIVA",G40&gt;Parametros!$B$5),"MEDIA","BAIXA"))))</f>
        <v/>
      </c>
      <c r="O40" s="15">
        <f>IF(N40="","",IF(N40="ALTA","Escorar/interditar e acionar calculista",IF(N40="MEDIA","Tratar a causa + monitorar","Monitorar e registrar")))</f>
        <v/>
      </c>
      <c r="P40" s="15" t="n"/>
    </row>
    <row r="41">
      <c r="A41" s="10" t="n"/>
      <c r="B41" s="11" t="n"/>
      <c r="C41" s="10" t="n"/>
      <c r="D41" s="10" t="n"/>
      <c r="E41" s="12" t="n"/>
      <c r="F41" s="13" t="n"/>
      <c r="G41" s="12" t="n"/>
      <c r="H41" s="13" t="n"/>
      <c r="I41" s="12">
        <f>IF(G41="","",G41-E41)</f>
        <v/>
      </c>
      <c r="J41" s="10">
        <f>IF(G41="","",IF(ABS(I41)&gt;=Parametros!$B$4,"ATIVA","ESTAVEL"))</f>
        <v/>
      </c>
      <c r="K41" s="11" t="n"/>
      <c r="L41" s="10" t="n"/>
      <c r="M41" s="10" t="n"/>
      <c r="N41" s="10">
        <f>IF(G41="","",IF(M41="Sim","ALTA",IF(AND(OR(K41="Cisalhamento",K41="Recalque diferencial"),J41="ATIVA"),"ALTA",IF(OR(J41="ATIVA",G41&gt;Parametros!$B$5),"MEDIA","BAIXA"))))</f>
        <v/>
      </c>
      <c r="O41" s="11">
        <f>IF(N41="","",IF(N41="ALTA","Escorar/interditar e acionar calculista",IF(N41="MEDIA","Tratar a causa + monitorar","Monitorar e registrar")))</f>
        <v/>
      </c>
      <c r="P41" s="11" t="n"/>
    </row>
    <row r="42">
      <c r="A42" s="14" t="n"/>
      <c r="B42" s="15" t="n"/>
      <c r="C42" s="14" t="n"/>
      <c r="D42" s="14" t="n"/>
      <c r="E42" s="16" t="n"/>
      <c r="F42" s="17" t="n"/>
      <c r="G42" s="16" t="n"/>
      <c r="H42" s="17" t="n"/>
      <c r="I42" s="16">
        <f>IF(G42="","",G42-E42)</f>
        <v/>
      </c>
      <c r="J42" s="14">
        <f>IF(G42="","",IF(ABS(I42)&gt;=Parametros!$B$4,"ATIVA","ESTAVEL"))</f>
        <v/>
      </c>
      <c r="K42" s="15" t="n"/>
      <c r="L42" s="14" t="n"/>
      <c r="M42" s="14" t="n"/>
      <c r="N42" s="14">
        <f>IF(G42="","",IF(M42="Sim","ALTA",IF(AND(OR(K42="Cisalhamento",K42="Recalque diferencial"),J42="ATIVA"),"ALTA",IF(OR(J42="ATIVA",G42&gt;Parametros!$B$5),"MEDIA","BAIXA"))))</f>
        <v/>
      </c>
      <c r="O42" s="15">
        <f>IF(N42="","",IF(N42="ALTA","Escorar/interditar e acionar calculista",IF(N42="MEDIA","Tratar a causa + monitorar","Monitorar e registrar")))</f>
        <v/>
      </c>
      <c r="P42" s="15" t="n"/>
    </row>
    <row r="43">
      <c r="A43" s="10" t="n"/>
      <c r="B43" s="11" t="n"/>
      <c r="C43" s="10" t="n"/>
      <c r="D43" s="10" t="n"/>
      <c r="E43" s="12" t="n"/>
      <c r="F43" s="13" t="n"/>
      <c r="G43" s="12" t="n"/>
      <c r="H43" s="13" t="n"/>
      <c r="I43" s="12">
        <f>IF(G43="","",G43-E43)</f>
        <v/>
      </c>
      <c r="J43" s="10">
        <f>IF(G43="","",IF(ABS(I43)&gt;=Parametros!$B$4,"ATIVA","ESTAVEL"))</f>
        <v/>
      </c>
      <c r="K43" s="11" t="n"/>
      <c r="L43" s="10" t="n"/>
      <c r="M43" s="10" t="n"/>
      <c r="N43" s="10">
        <f>IF(G43="","",IF(M43="Sim","ALTA",IF(AND(OR(K43="Cisalhamento",K43="Recalque diferencial"),J43="ATIVA"),"ALTA",IF(OR(J43="ATIVA",G43&gt;Parametros!$B$5),"MEDIA","BAIXA"))))</f>
        <v/>
      </c>
      <c r="O43" s="11">
        <f>IF(N43="","",IF(N43="ALTA","Escorar/interditar e acionar calculista",IF(N43="MEDIA","Tratar a causa + monitorar","Monitorar e registrar")))</f>
        <v/>
      </c>
      <c r="P43" s="11" t="n"/>
    </row>
    <row r="44">
      <c r="A44" s="14" t="n"/>
      <c r="B44" s="15" t="n"/>
      <c r="C44" s="14" t="n"/>
      <c r="D44" s="14" t="n"/>
      <c r="E44" s="16" t="n"/>
      <c r="F44" s="17" t="n"/>
      <c r="G44" s="16" t="n"/>
      <c r="H44" s="17" t="n"/>
      <c r="I44" s="16">
        <f>IF(G44="","",G44-E44)</f>
        <v/>
      </c>
      <c r="J44" s="14">
        <f>IF(G44="","",IF(ABS(I44)&gt;=Parametros!$B$4,"ATIVA","ESTAVEL"))</f>
        <v/>
      </c>
      <c r="K44" s="15" t="n"/>
      <c r="L44" s="14" t="n"/>
      <c r="M44" s="14" t="n"/>
      <c r="N44" s="14">
        <f>IF(G44="","",IF(M44="Sim","ALTA",IF(AND(OR(K44="Cisalhamento",K44="Recalque diferencial"),J44="ATIVA"),"ALTA",IF(OR(J44="ATIVA",G44&gt;Parametros!$B$5),"MEDIA","BAIXA"))))</f>
        <v/>
      </c>
      <c r="O44" s="15">
        <f>IF(N44="","",IF(N44="ALTA","Escorar/interditar e acionar calculista",IF(N44="MEDIA","Tratar a causa + monitorar","Monitorar e registrar")))</f>
        <v/>
      </c>
      <c r="P44" s="15" t="n"/>
    </row>
    <row r="45">
      <c r="A45" s="10" t="n"/>
      <c r="B45" s="11" t="n"/>
      <c r="C45" s="10" t="n"/>
      <c r="D45" s="10" t="n"/>
      <c r="E45" s="12" t="n"/>
      <c r="F45" s="13" t="n"/>
      <c r="G45" s="12" t="n"/>
      <c r="H45" s="13" t="n"/>
      <c r="I45" s="12">
        <f>IF(G45="","",G45-E45)</f>
        <v/>
      </c>
      <c r="J45" s="10">
        <f>IF(G45="","",IF(ABS(I45)&gt;=Parametros!$B$4,"ATIVA","ESTAVEL"))</f>
        <v/>
      </c>
      <c r="K45" s="11" t="n"/>
      <c r="L45" s="10" t="n"/>
      <c r="M45" s="10" t="n"/>
      <c r="N45" s="10">
        <f>IF(G45="","",IF(M45="Sim","ALTA",IF(AND(OR(K45="Cisalhamento",K45="Recalque diferencial"),J45="ATIVA"),"ALTA",IF(OR(J45="ATIVA",G45&gt;Parametros!$B$5),"MEDIA","BAIXA"))))</f>
        <v/>
      </c>
      <c r="O45" s="11">
        <f>IF(N45="","",IF(N45="ALTA","Escorar/interditar e acionar calculista",IF(N45="MEDIA","Tratar a causa + monitorar","Monitorar e registrar")))</f>
        <v/>
      </c>
      <c r="P45" s="11" t="n"/>
    </row>
    <row r="46">
      <c r="A46" s="14" t="n"/>
      <c r="B46" s="15" t="n"/>
      <c r="C46" s="14" t="n"/>
      <c r="D46" s="14" t="n"/>
      <c r="E46" s="16" t="n"/>
      <c r="F46" s="17" t="n"/>
      <c r="G46" s="16" t="n"/>
      <c r="H46" s="17" t="n"/>
      <c r="I46" s="16">
        <f>IF(G46="","",G46-E46)</f>
        <v/>
      </c>
      <c r="J46" s="14">
        <f>IF(G46="","",IF(ABS(I46)&gt;=Parametros!$B$4,"ATIVA","ESTAVEL"))</f>
        <v/>
      </c>
      <c r="K46" s="15" t="n"/>
      <c r="L46" s="14" t="n"/>
      <c r="M46" s="14" t="n"/>
      <c r="N46" s="14">
        <f>IF(G46="","",IF(M46="Sim","ALTA",IF(AND(OR(K46="Cisalhamento",K46="Recalque diferencial"),J46="ATIVA"),"ALTA",IF(OR(J46="ATIVA",G46&gt;Parametros!$B$5),"MEDIA","BAIXA"))))</f>
        <v/>
      </c>
      <c r="O46" s="15">
        <f>IF(N46="","",IF(N46="ALTA","Escorar/interditar e acionar calculista",IF(N46="MEDIA","Tratar a causa + monitorar","Monitorar e registrar")))</f>
        <v/>
      </c>
      <c r="P46" s="15" t="n"/>
    </row>
    <row r="47">
      <c r="A47" s="10" t="n"/>
      <c r="B47" s="11" t="n"/>
      <c r="C47" s="10" t="n"/>
      <c r="D47" s="10" t="n"/>
      <c r="E47" s="12" t="n"/>
      <c r="F47" s="13" t="n"/>
      <c r="G47" s="12" t="n"/>
      <c r="H47" s="13" t="n"/>
      <c r="I47" s="12">
        <f>IF(G47="","",G47-E47)</f>
        <v/>
      </c>
      <c r="J47" s="10">
        <f>IF(G47="","",IF(ABS(I47)&gt;=Parametros!$B$4,"ATIVA","ESTAVEL"))</f>
        <v/>
      </c>
      <c r="K47" s="11" t="n"/>
      <c r="L47" s="10" t="n"/>
      <c r="M47" s="10" t="n"/>
      <c r="N47" s="10">
        <f>IF(G47="","",IF(M47="Sim","ALTA",IF(AND(OR(K47="Cisalhamento",K47="Recalque diferencial"),J47="ATIVA"),"ALTA",IF(OR(J47="ATIVA",G47&gt;Parametros!$B$5),"MEDIA","BAIXA"))))</f>
        <v/>
      </c>
      <c r="O47" s="11">
        <f>IF(N47="","",IF(N47="ALTA","Escorar/interditar e acionar calculista",IF(N47="MEDIA","Tratar a causa + monitorar","Monitorar e registrar")))</f>
        <v/>
      </c>
      <c r="P47" s="11" t="n"/>
    </row>
    <row r="48">
      <c r="A48" s="14" t="n"/>
      <c r="B48" s="15" t="n"/>
      <c r="C48" s="14" t="n"/>
      <c r="D48" s="14" t="n"/>
      <c r="E48" s="16" t="n"/>
      <c r="F48" s="17" t="n"/>
      <c r="G48" s="16" t="n"/>
      <c r="H48" s="17" t="n"/>
      <c r="I48" s="16">
        <f>IF(G48="","",G48-E48)</f>
        <v/>
      </c>
      <c r="J48" s="14">
        <f>IF(G48="","",IF(ABS(I48)&gt;=Parametros!$B$4,"ATIVA","ESTAVEL"))</f>
        <v/>
      </c>
      <c r="K48" s="15" t="n"/>
      <c r="L48" s="14" t="n"/>
      <c r="M48" s="14" t="n"/>
      <c r="N48" s="14">
        <f>IF(G48="","",IF(M48="Sim","ALTA",IF(AND(OR(K48="Cisalhamento",K48="Recalque diferencial"),J48="ATIVA"),"ALTA",IF(OR(J48="ATIVA",G48&gt;Parametros!$B$5),"MEDIA","BAIXA"))))</f>
        <v/>
      </c>
      <c r="O48" s="15">
        <f>IF(N48="","",IF(N48="ALTA","Escorar/interditar e acionar calculista",IF(N48="MEDIA","Tratar a causa + monitorar","Monitorar e registrar")))</f>
        <v/>
      </c>
      <c r="P48" s="15" t="n"/>
    </row>
    <row r="49">
      <c r="A49" s="10" t="n"/>
      <c r="B49" s="11" t="n"/>
      <c r="C49" s="10" t="n"/>
      <c r="D49" s="10" t="n"/>
      <c r="E49" s="12" t="n"/>
      <c r="F49" s="13" t="n"/>
      <c r="G49" s="12" t="n"/>
      <c r="H49" s="13" t="n"/>
      <c r="I49" s="12">
        <f>IF(G49="","",G49-E49)</f>
        <v/>
      </c>
      <c r="J49" s="10">
        <f>IF(G49="","",IF(ABS(I49)&gt;=Parametros!$B$4,"ATIVA","ESTAVEL"))</f>
        <v/>
      </c>
      <c r="K49" s="11" t="n"/>
      <c r="L49" s="10" t="n"/>
      <c r="M49" s="10" t="n"/>
      <c r="N49" s="10">
        <f>IF(G49="","",IF(M49="Sim","ALTA",IF(AND(OR(K49="Cisalhamento",K49="Recalque diferencial"),J49="ATIVA"),"ALTA",IF(OR(J49="ATIVA",G49&gt;Parametros!$B$5),"MEDIA","BAIXA"))))</f>
        <v/>
      </c>
      <c r="O49" s="11">
        <f>IF(N49="","",IF(N49="ALTA","Escorar/interditar e acionar calculista",IF(N49="MEDIA","Tratar a causa + monitorar","Monitorar e registrar")))</f>
        <v/>
      </c>
      <c r="P49" s="11" t="n"/>
    </row>
    <row r="50">
      <c r="A50" s="14" t="n"/>
      <c r="B50" s="15" t="n"/>
      <c r="C50" s="14" t="n"/>
      <c r="D50" s="14" t="n"/>
      <c r="E50" s="16" t="n"/>
      <c r="F50" s="17" t="n"/>
      <c r="G50" s="16" t="n"/>
      <c r="H50" s="17" t="n"/>
      <c r="I50" s="16">
        <f>IF(G50="","",G50-E50)</f>
        <v/>
      </c>
      <c r="J50" s="14">
        <f>IF(G50="","",IF(ABS(I50)&gt;=Parametros!$B$4,"ATIVA","ESTAVEL"))</f>
        <v/>
      </c>
      <c r="K50" s="15" t="n"/>
      <c r="L50" s="14" t="n"/>
      <c r="M50" s="14" t="n"/>
      <c r="N50" s="14">
        <f>IF(G50="","",IF(M50="Sim","ALTA",IF(AND(OR(K50="Cisalhamento",K50="Recalque diferencial"),J50="ATIVA"),"ALTA",IF(OR(J50="ATIVA",G50&gt;Parametros!$B$5),"MEDIA","BAIXA"))))</f>
        <v/>
      </c>
      <c r="O50" s="15">
        <f>IF(N50="","",IF(N50="ALTA","Escorar/interditar e acionar calculista",IF(N50="MEDIA","Tratar a causa + monitorar","Monitorar e registrar")))</f>
        <v/>
      </c>
      <c r="P50" s="15" t="n"/>
    </row>
    <row r="51">
      <c r="A51" s="10" t="n"/>
      <c r="B51" s="11" t="n"/>
      <c r="C51" s="10" t="n"/>
      <c r="D51" s="10" t="n"/>
      <c r="E51" s="12" t="n"/>
      <c r="F51" s="13" t="n"/>
      <c r="G51" s="12" t="n"/>
      <c r="H51" s="13" t="n"/>
      <c r="I51" s="12">
        <f>IF(G51="","",G51-E51)</f>
        <v/>
      </c>
      <c r="J51" s="10">
        <f>IF(G51="","",IF(ABS(I51)&gt;=Parametros!$B$4,"ATIVA","ESTAVEL"))</f>
        <v/>
      </c>
      <c r="K51" s="11" t="n"/>
      <c r="L51" s="10" t="n"/>
      <c r="M51" s="10" t="n"/>
      <c r="N51" s="10">
        <f>IF(G51="","",IF(M51="Sim","ALTA",IF(AND(OR(K51="Cisalhamento",K51="Recalque diferencial"),J51="ATIVA"),"ALTA",IF(OR(J51="ATIVA",G51&gt;Parametros!$B$5),"MEDIA","BAIXA"))))</f>
        <v/>
      </c>
      <c r="O51" s="11">
        <f>IF(N51="","",IF(N51="ALTA","Escorar/interditar e acionar calculista",IF(N51="MEDIA","Tratar a causa + monitorar","Monitorar e registrar")))</f>
        <v/>
      </c>
      <c r="P51" s="11" t="n"/>
    </row>
    <row r="52">
      <c r="A52" s="14" t="n"/>
      <c r="B52" s="15" t="n"/>
      <c r="C52" s="14" t="n"/>
      <c r="D52" s="14" t="n"/>
      <c r="E52" s="16" t="n"/>
      <c r="F52" s="17" t="n"/>
      <c r="G52" s="16" t="n"/>
      <c r="H52" s="17" t="n"/>
      <c r="I52" s="16">
        <f>IF(G52="","",G52-E52)</f>
        <v/>
      </c>
      <c r="J52" s="14">
        <f>IF(G52="","",IF(ABS(I52)&gt;=Parametros!$B$4,"ATIVA","ESTAVEL"))</f>
        <v/>
      </c>
      <c r="K52" s="15" t="n"/>
      <c r="L52" s="14" t="n"/>
      <c r="M52" s="14" t="n"/>
      <c r="N52" s="14">
        <f>IF(G52="","",IF(M52="Sim","ALTA",IF(AND(OR(K52="Cisalhamento",K52="Recalque diferencial"),J52="ATIVA"),"ALTA",IF(OR(J52="ATIVA",G52&gt;Parametros!$B$5),"MEDIA","BAIXA"))))</f>
        <v/>
      </c>
      <c r="O52" s="15">
        <f>IF(N52="","",IF(N52="ALTA","Escorar/interditar e acionar calculista",IF(N52="MEDIA","Tratar a causa + monitorar","Monitorar e registrar")))</f>
        <v/>
      </c>
      <c r="P52" s="15" t="n"/>
    </row>
    <row r="53">
      <c r="A53" s="10" t="n"/>
      <c r="B53" s="11" t="n"/>
      <c r="C53" s="10" t="n"/>
      <c r="D53" s="10" t="n"/>
      <c r="E53" s="12" t="n"/>
      <c r="F53" s="13" t="n"/>
      <c r="G53" s="12" t="n"/>
      <c r="H53" s="13" t="n"/>
      <c r="I53" s="12">
        <f>IF(G53="","",G53-E53)</f>
        <v/>
      </c>
      <c r="J53" s="10">
        <f>IF(G53="","",IF(ABS(I53)&gt;=Parametros!$B$4,"ATIVA","ESTAVEL"))</f>
        <v/>
      </c>
      <c r="K53" s="11" t="n"/>
      <c r="L53" s="10" t="n"/>
      <c r="M53" s="10" t="n"/>
      <c r="N53" s="10">
        <f>IF(G53="","",IF(M53="Sim","ALTA",IF(AND(OR(K53="Cisalhamento",K53="Recalque diferencial"),J53="ATIVA"),"ALTA",IF(OR(J53="ATIVA",G53&gt;Parametros!$B$5),"MEDIA","BAIXA"))))</f>
        <v/>
      </c>
      <c r="O53" s="11">
        <f>IF(N53="","",IF(N53="ALTA","Escorar/interditar e acionar calculista",IF(N53="MEDIA","Tratar a causa + monitorar","Monitorar e registrar")))</f>
        <v/>
      </c>
      <c r="P53" s="11" t="n"/>
    </row>
    <row r="54">
      <c r="A54" s="14" t="n"/>
      <c r="B54" s="15" t="n"/>
      <c r="C54" s="14" t="n"/>
      <c r="D54" s="14" t="n"/>
      <c r="E54" s="16" t="n"/>
      <c r="F54" s="17" t="n"/>
      <c r="G54" s="16" t="n"/>
      <c r="H54" s="17" t="n"/>
      <c r="I54" s="16">
        <f>IF(G54="","",G54-E54)</f>
        <v/>
      </c>
      <c r="J54" s="14">
        <f>IF(G54="","",IF(ABS(I54)&gt;=Parametros!$B$4,"ATIVA","ESTAVEL"))</f>
        <v/>
      </c>
      <c r="K54" s="15" t="n"/>
      <c r="L54" s="14" t="n"/>
      <c r="M54" s="14" t="n"/>
      <c r="N54" s="14">
        <f>IF(G54="","",IF(M54="Sim","ALTA",IF(AND(OR(K54="Cisalhamento",K54="Recalque diferencial"),J54="ATIVA"),"ALTA",IF(OR(J54="ATIVA",G54&gt;Parametros!$B$5),"MEDIA","BAIXA"))))</f>
        <v/>
      </c>
      <c r="O54" s="15">
        <f>IF(N54="","",IF(N54="ALTA","Escorar/interditar e acionar calculista",IF(N54="MEDIA","Tratar a causa + monitorar","Monitorar e registrar")))</f>
        <v/>
      </c>
      <c r="P54" s="15" t="n"/>
    </row>
    <row r="55">
      <c r="A55" s="10" t="n"/>
      <c r="B55" s="11" t="n"/>
      <c r="C55" s="10" t="n"/>
      <c r="D55" s="10" t="n"/>
      <c r="E55" s="12" t="n"/>
      <c r="F55" s="13" t="n"/>
      <c r="G55" s="12" t="n"/>
      <c r="H55" s="13" t="n"/>
      <c r="I55" s="12">
        <f>IF(G55="","",G55-E55)</f>
        <v/>
      </c>
      <c r="J55" s="10">
        <f>IF(G55="","",IF(ABS(I55)&gt;=Parametros!$B$4,"ATIVA","ESTAVEL"))</f>
        <v/>
      </c>
      <c r="K55" s="11" t="n"/>
      <c r="L55" s="10" t="n"/>
      <c r="M55" s="10" t="n"/>
      <c r="N55" s="10">
        <f>IF(G55="","",IF(M55="Sim","ALTA",IF(AND(OR(K55="Cisalhamento",K55="Recalque diferencial"),J55="ATIVA"),"ALTA",IF(OR(J55="ATIVA",G55&gt;Parametros!$B$5),"MEDIA","BAIXA"))))</f>
        <v/>
      </c>
      <c r="O55" s="11">
        <f>IF(N55="","",IF(N55="ALTA","Escorar/interditar e acionar calculista",IF(N55="MEDIA","Tratar a causa + monitorar","Monitorar e registrar")))</f>
        <v/>
      </c>
      <c r="P55" s="11" t="n"/>
    </row>
    <row r="56">
      <c r="A56" s="14" t="n"/>
      <c r="B56" s="15" t="n"/>
      <c r="C56" s="14" t="n"/>
      <c r="D56" s="14" t="n"/>
      <c r="E56" s="16" t="n"/>
      <c r="F56" s="17" t="n"/>
      <c r="G56" s="16" t="n"/>
      <c r="H56" s="17" t="n"/>
      <c r="I56" s="16">
        <f>IF(G56="","",G56-E56)</f>
        <v/>
      </c>
      <c r="J56" s="14">
        <f>IF(G56="","",IF(ABS(I56)&gt;=Parametros!$B$4,"ATIVA","ESTAVEL"))</f>
        <v/>
      </c>
      <c r="K56" s="15" t="n"/>
      <c r="L56" s="14" t="n"/>
      <c r="M56" s="14" t="n"/>
      <c r="N56" s="14">
        <f>IF(G56="","",IF(M56="Sim","ALTA",IF(AND(OR(K56="Cisalhamento",K56="Recalque diferencial"),J56="ATIVA"),"ALTA",IF(OR(J56="ATIVA",G56&gt;Parametros!$B$5),"MEDIA","BAIXA"))))</f>
        <v/>
      </c>
      <c r="O56" s="15">
        <f>IF(N56="","",IF(N56="ALTA","Escorar/interditar e acionar calculista",IF(N56="MEDIA","Tratar a causa + monitorar","Monitorar e registrar")))</f>
        <v/>
      </c>
      <c r="P56" s="15" t="n"/>
    </row>
    <row r="57">
      <c r="A57" s="10" t="n"/>
      <c r="B57" s="11" t="n"/>
      <c r="C57" s="10" t="n"/>
      <c r="D57" s="10" t="n"/>
      <c r="E57" s="12" t="n"/>
      <c r="F57" s="13" t="n"/>
      <c r="G57" s="12" t="n"/>
      <c r="H57" s="13" t="n"/>
      <c r="I57" s="12">
        <f>IF(G57="","",G57-E57)</f>
        <v/>
      </c>
      <c r="J57" s="10">
        <f>IF(G57="","",IF(ABS(I57)&gt;=Parametros!$B$4,"ATIVA","ESTAVEL"))</f>
        <v/>
      </c>
      <c r="K57" s="11" t="n"/>
      <c r="L57" s="10" t="n"/>
      <c r="M57" s="10" t="n"/>
      <c r="N57" s="10">
        <f>IF(G57="","",IF(M57="Sim","ALTA",IF(AND(OR(K57="Cisalhamento",K57="Recalque diferencial"),J57="ATIVA"),"ALTA",IF(OR(J57="ATIVA",G57&gt;Parametros!$B$5),"MEDIA","BAIXA"))))</f>
        <v/>
      </c>
      <c r="O57" s="11">
        <f>IF(N57="","",IF(N57="ALTA","Escorar/interditar e acionar calculista",IF(N57="MEDIA","Tratar a causa + monitorar","Monitorar e registrar")))</f>
        <v/>
      </c>
      <c r="P57" s="11" t="n"/>
    </row>
    <row r="58">
      <c r="A58" s="14" t="n"/>
      <c r="B58" s="15" t="n"/>
      <c r="C58" s="14" t="n"/>
      <c r="D58" s="14" t="n"/>
      <c r="E58" s="16" t="n"/>
      <c r="F58" s="17" t="n"/>
      <c r="G58" s="16" t="n"/>
      <c r="H58" s="17" t="n"/>
      <c r="I58" s="16">
        <f>IF(G58="","",G58-E58)</f>
        <v/>
      </c>
      <c r="J58" s="14">
        <f>IF(G58="","",IF(ABS(I58)&gt;=Parametros!$B$4,"ATIVA","ESTAVEL"))</f>
        <v/>
      </c>
      <c r="K58" s="15" t="n"/>
      <c r="L58" s="14" t="n"/>
      <c r="M58" s="14" t="n"/>
      <c r="N58" s="14">
        <f>IF(G58="","",IF(M58="Sim","ALTA",IF(AND(OR(K58="Cisalhamento",K58="Recalque diferencial"),J58="ATIVA"),"ALTA",IF(OR(J58="ATIVA",G58&gt;Parametros!$B$5),"MEDIA","BAIXA"))))</f>
        <v/>
      </c>
      <c r="O58" s="15">
        <f>IF(N58="","",IF(N58="ALTA","Escorar/interditar e acionar calculista",IF(N58="MEDIA","Tratar a causa + monitorar","Monitorar e registrar")))</f>
        <v/>
      </c>
      <c r="P58" s="15" t="n"/>
    </row>
    <row r="59">
      <c r="A59" s="10" t="n"/>
      <c r="B59" s="11" t="n"/>
      <c r="C59" s="10" t="n"/>
      <c r="D59" s="10" t="n"/>
      <c r="E59" s="12" t="n"/>
      <c r="F59" s="13" t="n"/>
      <c r="G59" s="12" t="n"/>
      <c r="H59" s="13" t="n"/>
      <c r="I59" s="12">
        <f>IF(G59="","",G59-E59)</f>
        <v/>
      </c>
      <c r="J59" s="10">
        <f>IF(G59="","",IF(ABS(I59)&gt;=Parametros!$B$4,"ATIVA","ESTAVEL"))</f>
        <v/>
      </c>
      <c r="K59" s="11" t="n"/>
      <c r="L59" s="10" t="n"/>
      <c r="M59" s="10" t="n"/>
      <c r="N59" s="10">
        <f>IF(G59="","",IF(M59="Sim","ALTA",IF(AND(OR(K59="Cisalhamento",K59="Recalque diferencial"),J59="ATIVA"),"ALTA",IF(OR(J59="ATIVA",G59&gt;Parametros!$B$5),"MEDIA","BAIXA"))))</f>
        <v/>
      </c>
      <c r="O59" s="11">
        <f>IF(N59="","",IF(N59="ALTA","Escorar/interditar e acionar calculista",IF(N59="MEDIA","Tratar a causa + monitorar","Monitorar e registrar")))</f>
        <v/>
      </c>
      <c r="P59" s="11" t="n"/>
    </row>
    <row r="60">
      <c r="A60" s="14" t="n"/>
      <c r="B60" s="15" t="n"/>
      <c r="C60" s="14" t="n"/>
      <c r="D60" s="14" t="n"/>
      <c r="E60" s="16" t="n"/>
      <c r="F60" s="17" t="n"/>
      <c r="G60" s="16" t="n"/>
      <c r="H60" s="17" t="n"/>
      <c r="I60" s="16">
        <f>IF(G60="","",G60-E60)</f>
        <v/>
      </c>
      <c r="J60" s="14">
        <f>IF(G60="","",IF(ABS(I60)&gt;=Parametros!$B$4,"ATIVA","ESTAVEL"))</f>
        <v/>
      </c>
      <c r="K60" s="15" t="n"/>
      <c r="L60" s="14" t="n"/>
      <c r="M60" s="14" t="n"/>
      <c r="N60" s="14">
        <f>IF(G60="","",IF(M60="Sim","ALTA",IF(AND(OR(K60="Cisalhamento",K60="Recalque diferencial"),J60="ATIVA"),"ALTA",IF(OR(J60="ATIVA",G60&gt;Parametros!$B$5),"MEDIA","BAIXA"))))</f>
        <v/>
      </c>
      <c r="O60" s="15">
        <f>IF(N60="","",IF(N60="ALTA","Escorar/interditar e acionar calculista",IF(N60="MEDIA","Tratar a causa + monitorar","Monitorar e registrar")))</f>
        <v/>
      </c>
      <c r="P60" s="15" t="n"/>
    </row>
    <row r="61">
      <c r="A61" s="10" t="n"/>
      <c r="B61" s="11" t="n"/>
      <c r="C61" s="10" t="n"/>
      <c r="D61" s="10" t="n"/>
      <c r="E61" s="12" t="n"/>
      <c r="F61" s="13" t="n"/>
      <c r="G61" s="12" t="n"/>
      <c r="H61" s="13" t="n"/>
      <c r="I61" s="12">
        <f>IF(G61="","",G61-E61)</f>
        <v/>
      </c>
      <c r="J61" s="10">
        <f>IF(G61="","",IF(ABS(I61)&gt;=Parametros!$B$4,"ATIVA","ESTAVEL"))</f>
        <v/>
      </c>
      <c r="K61" s="11" t="n"/>
      <c r="L61" s="10" t="n"/>
      <c r="M61" s="10" t="n"/>
      <c r="N61" s="10">
        <f>IF(G61="","",IF(M61="Sim","ALTA",IF(AND(OR(K61="Cisalhamento",K61="Recalque diferencial"),J61="ATIVA"),"ALTA",IF(OR(J61="ATIVA",G61&gt;Parametros!$B$5),"MEDIA","BAIXA"))))</f>
        <v/>
      </c>
      <c r="O61" s="11">
        <f>IF(N61="","",IF(N61="ALTA","Escorar/interditar e acionar calculista",IF(N61="MEDIA","Tratar a causa + monitorar","Monitorar e registrar")))</f>
        <v/>
      </c>
      <c r="P61" s="11" t="n"/>
    </row>
    <row r="62">
      <c r="A62" s="14" t="n"/>
      <c r="B62" s="15" t="n"/>
      <c r="C62" s="14" t="n"/>
      <c r="D62" s="14" t="n"/>
      <c r="E62" s="16" t="n"/>
      <c r="F62" s="17" t="n"/>
      <c r="G62" s="16" t="n"/>
      <c r="H62" s="17" t="n"/>
      <c r="I62" s="16">
        <f>IF(G62="","",G62-E62)</f>
        <v/>
      </c>
      <c r="J62" s="14">
        <f>IF(G62="","",IF(ABS(I62)&gt;=Parametros!$B$4,"ATIVA","ESTAVEL"))</f>
        <v/>
      </c>
      <c r="K62" s="15" t="n"/>
      <c r="L62" s="14" t="n"/>
      <c r="M62" s="14" t="n"/>
      <c r="N62" s="14">
        <f>IF(G62="","",IF(M62="Sim","ALTA",IF(AND(OR(K62="Cisalhamento",K62="Recalque diferencial"),J62="ATIVA"),"ALTA",IF(OR(J62="ATIVA",G62&gt;Parametros!$B$5),"MEDIA","BAIXA"))))</f>
        <v/>
      </c>
      <c r="O62" s="15">
        <f>IF(N62="","",IF(N62="ALTA","Escorar/interditar e acionar calculista",IF(N62="MEDIA","Tratar a causa + monitorar","Monitorar e registrar")))</f>
        <v/>
      </c>
      <c r="P62" s="15" t="n"/>
    </row>
    <row r="63">
      <c r="A63" s="10" t="n"/>
      <c r="B63" s="11" t="n"/>
      <c r="C63" s="10" t="n"/>
      <c r="D63" s="10" t="n"/>
      <c r="E63" s="12" t="n"/>
      <c r="F63" s="13" t="n"/>
      <c r="G63" s="12" t="n"/>
      <c r="H63" s="13" t="n"/>
      <c r="I63" s="12">
        <f>IF(G63="","",G63-E63)</f>
        <v/>
      </c>
      <c r="J63" s="10">
        <f>IF(G63="","",IF(ABS(I63)&gt;=Parametros!$B$4,"ATIVA","ESTAVEL"))</f>
        <v/>
      </c>
      <c r="K63" s="11" t="n"/>
      <c r="L63" s="10" t="n"/>
      <c r="M63" s="10" t="n"/>
      <c r="N63" s="10">
        <f>IF(G63="","",IF(M63="Sim","ALTA",IF(AND(OR(K63="Cisalhamento",K63="Recalque diferencial"),J63="ATIVA"),"ALTA",IF(OR(J63="ATIVA",G63&gt;Parametros!$B$5),"MEDIA","BAIXA"))))</f>
        <v/>
      </c>
      <c r="O63" s="11">
        <f>IF(N63="","",IF(N63="ALTA","Escorar/interditar e acionar calculista",IF(N63="MEDIA","Tratar a causa + monitorar","Monitorar e registrar")))</f>
        <v/>
      </c>
      <c r="P63" s="11" t="n"/>
    </row>
    <row r="64">
      <c r="A64" s="14" t="n"/>
      <c r="B64" s="15" t="n"/>
      <c r="C64" s="14" t="n"/>
      <c r="D64" s="14" t="n"/>
      <c r="E64" s="16" t="n"/>
      <c r="F64" s="17" t="n"/>
      <c r="G64" s="16" t="n"/>
      <c r="H64" s="17" t="n"/>
      <c r="I64" s="16">
        <f>IF(G64="","",G64-E64)</f>
        <v/>
      </c>
      <c r="J64" s="14">
        <f>IF(G64="","",IF(ABS(I64)&gt;=Parametros!$B$4,"ATIVA","ESTAVEL"))</f>
        <v/>
      </c>
      <c r="K64" s="15" t="n"/>
      <c r="L64" s="14" t="n"/>
      <c r="M64" s="14" t="n"/>
      <c r="N64" s="14">
        <f>IF(G64="","",IF(M64="Sim","ALTA",IF(AND(OR(K64="Cisalhamento",K64="Recalque diferencial"),J64="ATIVA"),"ALTA",IF(OR(J64="ATIVA",G64&gt;Parametros!$B$5),"MEDIA","BAIXA"))))</f>
        <v/>
      </c>
      <c r="O64" s="15">
        <f>IF(N64="","",IF(N64="ALTA","Escorar/interditar e acionar calculista",IF(N64="MEDIA","Tratar a causa + monitorar","Monitorar e registrar")))</f>
        <v/>
      </c>
      <c r="P64" s="15" t="n"/>
    </row>
    <row r="65">
      <c r="A65" s="10" t="n"/>
      <c r="B65" s="11" t="n"/>
      <c r="C65" s="10" t="n"/>
      <c r="D65" s="10" t="n"/>
      <c r="E65" s="12" t="n"/>
      <c r="F65" s="13" t="n"/>
      <c r="G65" s="12" t="n"/>
      <c r="H65" s="13" t="n"/>
      <c r="I65" s="12">
        <f>IF(G65="","",G65-E65)</f>
        <v/>
      </c>
      <c r="J65" s="10">
        <f>IF(G65="","",IF(ABS(I65)&gt;=Parametros!$B$4,"ATIVA","ESTAVEL"))</f>
        <v/>
      </c>
      <c r="K65" s="11" t="n"/>
      <c r="L65" s="10" t="n"/>
      <c r="M65" s="10" t="n"/>
      <c r="N65" s="10">
        <f>IF(G65="","",IF(M65="Sim","ALTA",IF(AND(OR(K65="Cisalhamento",K65="Recalque diferencial"),J65="ATIVA"),"ALTA",IF(OR(J65="ATIVA",G65&gt;Parametros!$B$5),"MEDIA","BAIXA"))))</f>
        <v/>
      </c>
      <c r="O65" s="11">
        <f>IF(N65="","",IF(N65="ALTA","Escorar/interditar e acionar calculista",IF(N65="MEDIA","Tratar a causa + monitorar","Monitorar e registrar")))</f>
        <v/>
      </c>
      <c r="P65" s="11" t="n"/>
    </row>
    <row r="66">
      <c r="A66" s="14" t="n"/>
      <c r="B66" s="15" t="n"/>
      <c r="C66" s="14" t="n"/>
      <c r="D66" s="14" t="n"/>
      <c r="E66" s="16" t="n"/>
      <c r="F66" s="17" t="n"/>
      <c r="G66" s="16" t="n"/>
      <c r="H66" s="17" t="n"/>
      <c r="I66" s="16">
        <f>IF(G66="","",G66-E66)</f>
        <v/>
      </c>
      <c r="J66" s="14">
        <f>IF(G66="","",IF(ABS(I66)&gt;=Parametros!$B$4,"ATIVA","ESTAVEL"))</f>
        <v/>
      </c>
      <c r="K66" s="15" t="n"/>
      <c r="L66" s="14" t="n"/>
      <c r="M66" s="14" t="n"/>
      <c r="N66" s="14">
        <f>IF(G66="","",IF(M66="Sim","ALTA",IF(AND(OR(K66="Cisalhamento",K66="Recalque diferencial"),J66="ATIVA"),"ALTA",IF(OR(J66="ATIVA",G66&gt;Parametros!$B$5),"MEDIA","BAIXA"))))</f>
        <v/>
      </c>
      <c r="O66" s="15">
        <f>IF(N66="","",IF(N66="ALTA","Escorar/interditar e acionar calculista",IF(N66="MEDIA","Tratar a causa + monitorar","Monitorar e registrar")))</f>
        <v/>
      </c>
      <c r="P66" s="15" t="n"/>
    </row>
    <row r="67">
      <c r="A67" s="10" t="n"/>
      <c r="B67" s="11" t="n"/>
      <c r="C67" s="10" t="n"/>
      <c r="D67" s="10" t="n"/>
      <c r="E67" s="12" t="n"/>
      <c r="F67" s="13" t="n"/>
      <c r="G67" s="12" t="n"/>
      <c r="H67" s="13" t="n"/>
      <c r="I67" s="12">
        <f>IF(G67="","",G67-E67)</f>
        <v/>
      </c>
      <c r="J67" s="10">
        <f>IF(G67="","",IF(ABS(I67)&gt;=Parametros!$B$4,"ATIVA","ESTAVEL"))</f>
        <v/>
      </c>
      <c r="K67" s="11" t="n"/>
      <c r="L67" s="10" t="n"/>
      <c r="M67" s="10" t="n"/>
      <c r="N67" s="10">
        <f>IF(G67="","",IF(M67="Sim","ALTA",IF(AND(OR(K67="Cisalhamento",K67="Recalque diferencial"),J67="ATIVA"),"ALTA",IF(OR(J67="ATIVA",G67&gt;Parametros!$B$5),"MEDIA","BAIXA"))))</f>
        <v/>
      </c>
      <c r="O67" s="11">
        <f>IF(N67="","",IF(N67="ALTA","Escorar/interditar e acionar calculista",IF(N67="MEDIA","Tratar a causa + monitorar","Monitorar e registrar")))</f>
        <v/>
      </c>
      <c r="P67" s="11" t="n"/>
    </row>
    <row r="68">
      <c r="A68" s="14" t="n"/>
      <c r="B68" s="15" t="n"/>
      <c r="C68" s="14" t="n"/>
      <c r="D68" s="14" t="n"/>
      <c r="E68" s="16" t="n"/>
      <c r="F68" s="17" t="n"/>
      <c r="G68" s="16" t="n"/>
      <c r="H68" s="17" t="n"/>
      <c r="I68" s="16">
        <f>IF(G68="","",G68-E68)</f>
        <v/>
      </c>
      <c r="J68" s="14">
        <f>IF(G68="","",IF(ABS(I68)&gt;=Parametros!$B$4,"ATIVA","ESTAVEL"))</f>
        <v/>
      </c>
      <c r="K68" s="15" t="n"/>
      <c r="L68" s="14" t="n"/>
      <c r="M68" s="14" t="n"/>
      <c r="N68" s="14">
        <f>IF(G68="","",IF(M68="Sim","ALTA",IF(AND(OR(K68="Cisalhamento",K68="Recalque diferencial"),J68="ATIVA"),"ALTA",IF(OR(J68="ATIVA",G68&gt;Parametros!$B$5),"MEDIA","BAIXA"))))</f>
        <v/>
      </c>
      <c r="O68" s="15">
        <f>IF(N68="","",IF(N68="ALTA","Escorar/interditar e acionar calculista",IF(N68="MEDIA","Tratar a causa + monitorar","Monitorar e registrar")))</f>
        <v/>
      </c>
      <c r="P68" s="15" t="n"/>
    </row>
    <row r="69">
      <c r="A69" s="10" t="n"/>
      <c r="B69" s="11" t="n"/>
      <c r="C69" s="10" t="n"/>
      <c r="D69" s="10" t="n"/>
      <c r="E69" s="12" t="n"/>
      <c r="F69" s="13" t="n"/>
      <c r="G69" s="12" t="n"/>
      <c r="H69" s="13" t="n"/>
      <c r="I69" s="12">
        <f>IF(G69="","",G69-E69)</f>
        <v/>
      </c>
      <c r="J69" s="10">
        <f>IF(G69="","",IF(ABS(I69)&gt;=Parametros!$B$4,"ATIVA","ESTAVEL"))</f>
        <v/>
      </c>
      <c r="K69" s="11" t="n"/>
      <c r="L69" s="10" t="n"/>
      <c r="M69" s="10" t="n"/>
      <c r="N69" s="10">
        <f>IF(G69="","",IF(M69="Sim","ALTA",IF(AND(OR(K69="Cisalhamento",K69="Recalque diferencial"),J69="ATIVA"),"ALTA",IF(OR(J69="ATIVA",G69&gt;Parametros!$B$5),"MEDIA","BAIXA"))))</f>
        <v/>
      </c>
      <c r="O69" s="11">
        <f>IF(N69="","",IF(N69="ALTA","Escorar/interditar e acionar calculista",IF(N69="MEDIA","Tratar a causa + monitorar","Monitorar e registrar")))</f>
        <v/>
      </c>
      <c r="P69" s="11" t="n"/>
    </row>
    <row r="70">
      <c r="A70" s="14" t="n"/>
      <c r="B70" s="15" t="n"/>
      <c r="C70" s="14" t="n"/>
      <c r="D70" s="14" t="n"/>
      <c r="E70" s="16" t="n"/>
      <c r="F70" s="17" t="n"/>
      <c r="G70" s="16" t="n"/>
      <c r="H70" s="17" t="n"/>
      <c r="I70" s="16">
        <f>IF(G70="","",G70-E70)</f>
        <v/>
      </c>
      <c r="J70" s="14">
        <f>IF(G70="","",IF(ABS(I70)&gt;=Parametros!$B$4,"ATIVA","ESTAVEL"))</f>
        <v/>
      </c>
      <c r="K70" s="15" t="n"/>
      <c r="L70" s="14" t="n"/>
      <c r="M70" s="14" t="n"/>
      <c r="N70" s="14">
        <f>IF(G70="","",IF(M70="Sim","ALTA",IF(AND(OR(K70="Cisalhamento",K70="Recalque diferencial"),J70="ATIVA"),"ALTA",IF(OR(J70="ATIVA",G70&gt;Parametros!$B$5),"MEDIA","BAIXA"))))</f>
        <v/>
      </c>
      <c r="O70" s="15">
        <f>IF(N70="","",IF(N70="ALTA","Escorar/interditar e acionar calculista",IF(N70="MEDIA","Tratar a causa + monitorar","Monitorar e registrar")))</f>
        <v/>
      </c>
      <c r="P70" s="15" t="n"/>
    </row>
    <row r="71">
      <c r="A71" s="10" t="n"/>
      <c r="B71" s="11" t="n"/>
      <c r="C71" s="10" t="n"/>
      <c r="D71" s="10" t="n"/>
      <c r="E71" s="12" t="n"/>
      <c r="F71" s="13" t="n"/>
      <c r="G71" s="12" t="n"/>
      <c r="H71" s="13" t="n"/>
      <c r="I71" s="12">
        <f>IF(G71="","",G71-E71)</f>
        <v/>
      </c>
      <c r="J71" s="10">
        <f>IF(G71="","",IF(ABS(I71)&gt;=Parametros!$B$4,"ATIVA","ESTAVEL"))</f>
        <v/>
      </c>
      <c r="K71" s="11" t="n"/>
      <c r="L71" s="10" t="n"/>
      <c r="M71" s="10" t="n"/>
      <c r="N71" s="10">
        <f>IF(G71="","",IF(M71="Sim","ALTA",IF(AND(OR(K71="Cisalhamento",K71="Recalque diferencial"),J71="ATIVA"),"ALTA",IF(OR(J71="ATIVA",G71&gt;Parametros!$B$5),"MEDIA","BAIXA"))))</f>
        <v/>
      </c>
      <c r="O71" s="11">
        <f>IF(N71="","",IF(N71="ALTA","Escorar/interditar e acionar calculista",IF(N71="MEDIA","Tratar a causa + monitorar","Monitorar e registrar")))</f>
        <v/>
      </c>
      <c r="P71" s="11" t="n"/>
    </row>
    <row r="72">
      <c r="A72" s="14" t="n"/>
      <c r="B72" s="15" t="n"/>
      <c r="C72" s="14" t="n"/>
      <c r="D72" s="14" t="n"/>
      <c r="E72" s="16" t="n"/>
      <c r="F72" s="17" t="n"/>
      <c r="G72" s="16" t="n"/>
      <c r="H72" s="17" t="n"/>
      <c r="I72" s="16">
        <f>IF(G72="","",G72-E72)</f>
        <v/>
      </c>
      <c r="J72" s="14">
        <f>IF(G72="","",IF(ABS(I72)&gt;=Parametros!$B$4,"ATIVA","ESTAVEL"))</f>
        <v/>
      </c>
      <c r="K72" s="15" t="n"/>
      <c r="L72" s="14" t="n"/>
      <c r="M72" s="14" t="n"/>
      <c r="N72" s="14">
        <f>IF(G72="","",IF(M72="Sim","ALTA",IF(AND(OR(K72="Cisalhamento",K72="Recalque diferencial"),J72="ATIVA"),"ALTA",IF(OR(J72="ATIVA",G72&gt;Parametros!$B$5),"MEDIA","BAIXA"))))</f>
        <v/>
      </c>
      <c r="O72" s="15">
        <f>IF(N72="","",IF(N72="ALTA","Escorar/interditar e acionar calculista",IF(N72="MEDIA","Tratar a causa + monitorar","Monitorar e registrar")))</f>
        <v/>
      </c>
      <c r="P72" s="15" t="n"/>
    </row>
    <row r="73">
      <c r="A73" s="10" t="n"/>
      <c r="B73" s="11" t="n"/>
      <c r="C73" s="10" t="n"/>
      <c r="D73" s="10" t="n"/>
      <c r="E73" s="12" t="n"/>
      <c r="F73" s="13" t="n"/>
      <c r="G73" s="12" t="n"/>
      <c r="H73" s="13" t="n"/>
      <c r="I73" s="12">
        <f>IF(G73="","",G73-E73)</f>
        <v/>
      </c>
      <c r="J73" s="10">
        <f>IF(G73="","",IF(ABS(I73)&gt;=Parametros!$B$4,"ATIVA","ESTAVEL"))</f>
        <v/>
      </c>
      <c r="K73" s="11" t="n"/>
      <c r="L73" s="10" t="n"/>
      <c r="M73" s="10" t="n"/>
      <c r="N73" s="10">
        <f>IF(G73="","",IF(M73="Sim","ALTA",IF(AND(OR(K73="Cisalhamento",K73="Recalque diferencial"),J73="ATIVA"),"ALTA",IF(OR(J73="ATIVA",G73&gt;Parametros!$B$5),"MEDIA","BAIXA"))))</f>
        <v/>
      </c>
      <c r="O73" s="11">
        <f>IF(N73="","",IF(N73="ALTA","Escorar/interditar e acionar calculista",IF(N73="MEDIA","Tratar a causa + monitorar","Monitorar e registrar")))</f>
        <v/>
      </c>
      <c r="P73" s="11" t="n"/>
    </row>
    <row r="74">
      <c r="A74" s="14" t="n"/>
      <c r="B74" s="15" t="n"/>
      <c r="C74" s="14" t="n"/>
      <c r="D74" s="14" t="n"/>
      <c r="E74" s="16" t="n"/>
      <c r="F74" s="17" t="n"/>
      <c r="G74" s="16" t="n"/>
      <c r="H74" s="17" t="n"/>
      <c r="I74" s="16">
        <f>IF(G74="","",G74-E74)</f>
        <v/>
      </c>
      <c r="J74" s="14">
        <f>IF(G74="","",IF(ABS(I74)&gt;=Parametros!$B$4,"ATIVA","ESTAVEL"))</f>
        <v/>
      </c>
      <c r="K74" s="15" t="n"/>
      <c r="L74" s="14" t="n"/>
      <c r="M74" s="14" t="n"/>
      <c r="N74" s="14">
        <f>IF(G74="","",IF(M74="Sim","ALTA",IF(AND(OR(K74="Cisalhamento",K74="Recalque diferencial"),J74="ATIVA"),"ALTA",IF(OR(J74="ATIVA",G74&gt;Parametros!$B$5),"MEDIA","BAIXA"))))</f>
        <v/>
      </c>
      <c r="O74" s="15">
        <f>IF(N74="","",IF(N74="ALTA","Escorar/interditar e acionar calculista",IF(N74="MEDIA","Tratar a causa + monitorar","Monitorar e registrar")))</f>
        <v/>
      </c>
      <c r="P74" s="15" t="n"/>
    </row>
    <row r="75">
      <c r="A75" s="10" t="n"/>
      <c r="B75" s="11" t="n"/>
      <c r="C75" s="10" t="n"/>
      <c r="D75" s="10" t="n"/>
      <c r="E75" s="12" t="n"/>
      <c r="F75" s="13" t="n"/>
      <c r="G75" s="12" t="n"/>
      <c r="H75" s="13" t="n"/>
      <c r="I75" s="12">
        <f>IF(G75="","",G75-E75)</f>
        <v/>
      </c>
      <c r="J75" s="10">
        <f>IF(G75="","",IF(ABS(I75)&gt;=Parametros!$B$4,"ATIVA","ESTAVEL"))</f>
        <v/>
      </c>
      <c r="K75" s="11" t="n"/>
      <c r="L75" s="10" t="n"/>
      <c r="M75" s="10" t="n"/>
      <c r="N75" s="10">
        <f>IF(G75="","",IF(M75="Sim","ALTA",IF(AND(OR(K75="Cisalhamento",K75="Recalque diferencial"),J75="ATIVA"),"ALTA",IF(OR(J75="ATIVA",G75&gt;Parametros!$B$5),"MEDIA","BAIXA"))))</f>
        <v/>
      </c>
      <c r="O75" s="11">
        <f>IF(N75="","",IF(N75="ALTA","Escorar/interditar e acionar calculista",IF(N75="MEDIA","Tratar a causa + monitorar","Monitorar e registrar")))</f>
        <v/>
      </c>
      <c r="P75" s="11" t="n"/>
    </row>
    <row r="76">
      <c r="A76" s="14" t="n"/>
      <c r="B76" s="15" t="n"/>
      <c r="C76" s="14" t="n"/>
      <c r="D76" s="14" t="n"/>
      <c r="E76" s="16" t="n"/>
      <c r="F76" s="17" t="n"/>
      <c r="G76" s="16" t="n"/>
      <c r="H76" s="17" t="n"/>
      <c r="I76" s="16">
        <f>IF(G76="","",G76-E76)</f>
        <v/>
      </c>
      <c r="J76" s="14">
        <f>IF(G76="","",IF(ABS(I76)&gt;=Parametros!$B$4,"ATIVA","ESTAVEL"))</f>
        <v/>
      </c>
      <c r="K76" s="15" t="n"/>
      <c r="L76" s="14" t="n"/>
      <c r="M76" s="14" t="n"/>
      <c r="N76" s="14">
        <f>IF(G76="","",IF(M76="Sim","ALTA",IF(AND(OR(K76="Cisalhamento",K76="Recalque diferencial"),J76="ATIVA"),"ALTA",IF(OR(J76="ATIVA",G76&gt;Parametros!$B$5),"MEDIA","BAIXA"))))</f>
        <v/>
      </c>
      <c r="O76" s="15">
        <f>IF(N76="","",IF(N76="ALTA","Escorar/interditar e acionar calculista",IF(N76="MEDIA","Tratar a causa + monitorar","Monitorar e registrar")))</f>
        <v/>
      </c>
      <c r="P76" s="15" t="n"/>
    </row>
    <row r="77">
      <c r="A77" s="10" t="n"/>
      <c r="B77" s="11" t="n"/>
      <c r="C77" s="10" t="n"/>
      <c r="D77" s="10" t="n"/>
      <c r="E77" s="12" t="n"/>
      <c r="F77" s="13" t="n"/>
      <c r="G77" s="12" t="n"/>
      <c r="H77" s="13" t="n"/>
      <c r="I77" s="12">
        <f>IF(G77="","",G77-E77)</f>
        <v/>
      </c>
      <c r="J77" s="10">
        <f>IF(G77="","",IF(ABS(I77)&gt;=Parametros!$B$4,"ATIVA","ESTAVEL"))</f>
        <v/>
      </c>
      <c r="K77" s="11" t="n"/>
      <c r="L77" s="10" t="n"/>
      <c r="M77" s="10" t="n"/>
      <c r="N77" s="10">
        <f>IF(G77="","",IF(M77="Sim","ALTA",IF(AND(OR(K77="Cisalhamento",K77="Recalque diferencial"),J77="ATIVA"),"ALTA",IF(OR(J77="ATIVA",G77&gt;Parametros!$B$5),"MEDIA","BAIXA"))))</f>
        <v/>
      </c>
      <c r="O77" s="11">
        <f>IF(N77="","",IF(N77="ALTA","Escorar/interditar e acionar calculista",IF(N77="MEDIA","Tratar a causa + monitorar","Monitorar e registrar")))</f>
        <v/>
      </c>
      <c r="P77" s="11" t="n"/>
    </row>
    <row r="78">
      <c r="A78" s="14" t="n"/>
      <c r="B78" s="15" t="n"/>
      <c r="C78" s="14" t="n"/>
      <c r="D78" s="14" t="n"/>
      <c r="E78" s="16" t="n"/>
      <c r="F78" s="17" t="n"/>
      <c r="G78" s="16" t="n"/>
      <c r="H78" s="17" t="n"/>
      <c r="I78" s="16">
        <f>IF(G78="","",G78-E78)</f>
        <v/>
      </c>
      <c r="J78" s="14">
        <f>IF(G78="","",IF(ABS(I78)&gt;=Parametros!$B$4,"ATIVA","ESTAVEL"))</f>
        <v/>
      </c>
      <c r="K78" s="15" t="n"/>
      <c r="L78" s="14" t="n"/>
      <c r="M78" s="14" t="n"/>
      <c r="N78" s="14">
        <f>IF(G78="","",IF(M78="Sim","ALTA",IF(AND(OR(K78="Cisalhamento",K78="Recalque diferencial"),J78="ATIVA"),"ALTA",IF(OR(J78="ATIVA",G78&gt;Parametros!$B$5),"MEDIA","BAIXA"))))</f>
        <v/>
      </c>
      <c r="O78" s="15">
        <f>IF(N78="","",IF(N78="ALTA","Escorar/interditar e acionar calculista",IF(N78="MEDIA","Tratar a causa + monitorar","Monitorar e registrar")))</f>
        <v/>
      </c>
      <c r="P78" s="15" t="n"/>
    </row>
    <row r="79">
      <c r="A79" s="10" t="n"/>
      <c r="B79" s="11" t="n"/>
      <c r="C79" s="10" t="n"/>
      <c r="D79" s="10" t="n"/>
      <c r="E79" s="12" t="n"/>
      <c r="F79" s="13" t="n"/>
      <c r="G79" s="12" t="n"/>
      <c r="H79" s="13" t="n"/>
      <c r="I79" s="12">
        <f>IF(G79="","",G79-E79)</f>
        <v/>
      </c>
      <c r="J79" s="10">
        <f>IF(G79="","",IF(ABS(I79)&gt;=Parametros!$B$4,"ATIVA","ESTAVEL"))</f>
        <v/>
      </c>
      <c r="K79" s="11" t="n"/>
      <c r="L79" s="10" t="n"/>
      <c r="M79" s="10" t="n"/>
      <c r="N79" s="10">
        <f>IF(G79="","",IF(M79="Sim","ALTA",IF(AND(OR(K79="Cisalhamento",K79="Recalque diferencial"),J79="ATIVA"),"ALTA",IF(OR(J79="ATIVA",G79&gt;Parametros!$B$5),"MEDIA","BAIXA"))))</f>
        <v/>
      </c>
      <c r="O79" s="11">
        <f>IF(N79="","",IF(N79="ALTA","Escorar/interditar e acionar calculista",IF(N79="MEDIA","Tratar a causa + monitorar","Monitorar e registrar")))</f>
        <v/>
      </c>
      <c r="P79" s="11" t="n"/>
    </row>
    <row r="80">
      <c r="A80" s="14" t="n"/>
      <c r="B80" s="15" t="n"/>
      <c r="C80" s="14" t="n"/>
      <c r="D80" s="14" t="n"/>
      <c r="E80" s="16" t="n"/>
      <c r="F80" s="17" t="n"/>
      <c r="G80" s="16" t="n"/>
      <c r="H80" s="17" t="n"/>
      <c r="I80" s="16">
        <f>IF(G80="","",G80-E80)</f>
        <v/>
      </c>
      <c r="J80" s="14">
        <f>IF(G80="","",IF(ABS(I80)&gt;=Parametros!$B$4,"ATIVA","ESTAVEL"))</f>
        <v/>
      </c>
      <c r="K80" s="15" t="n"/>
      <c r="L80" s="14" t="n"/>
      <c r="M80" s="14" t="n"/>
      <c r="N80" s="14">
        <f>IF(G80="","",IF(M80="Sim","ALTA",IF(AND(OR(K80="Cisalhamento",K80="Recalque diferencial"),J80="ATIVA"),"ALTA",IF(OR(J80="ATIVA",G80&gt;Parametros!$B$5),"MEDIA","BAIXA"))))</f>
        <v/>
      </c>
      <c r="O80" s="15">
        <f>IF(N80="","",IF(N80="ALTA","Escorar/interditar e acionar calculista",IF(N80="MEDIA","Tratar a causa + monitorar","Monitorar e registrar")))</f>
        <v/>
      </c>
      <c r="P80" s="15" t="n"/>
    </row>
    <row r="81">
      <c r="A81" s="10" t="n"/>
      <c r="B81" s="11" t="n"/>
      <c r="C81" s="10" t="n"/>
      <c r="D81" s="10" t="n"/>
      <c r="E81" s="12" t="n"/>
      <c r="F81" s="13" t="n"/>
      <c r="G81" s="12" t="n"/>
      <c r="H81" s="13" t="n"/>
      <c r="I81" s="12">
        <f>IF(G81="","",G81-E81)</f>
        <v/>
      </c>
      <c r="J81" s="10">
        <f>IF(G81="","",IF(ABS(I81)&gt;=Parametros!$B$4,"ATIVA","ESTAVEL"))</f>
        <v/>
      </c>
      <c r="K81" s="11" t="n"/>
      <c r="L81" s="10" t="n"/>
      <c r="M81" s="10" t="n"/>
      <c r="N81" s="10">
        <f>IF(G81="","",IF(M81="Sim","ALTA",IF(AND(OR(K81="Cisalhamento",K81="Recalque diferencial"),J81="ATIVA"),"ALTA",IF(OR(J81="ATIVA",G81&gt;Parametros!$B$5),"MEDIA","BAIXA"))))</f>
        <v/>
      </c>
      <c r="O81" s="11">
        <f>IF(N81="","",IF(N81="ALTA","Escorar/interditar e acionar calculista",IF(N81="MEDIA","Tratar a causa + monitorar","Monitorar e registrar")))</f>
        <v/>
      </c>
      <c r="P81" s="11" t="n"/>
    </row>
    <row r="82">
      <c r="A82" s="14" t="n"/>
      <c r="B82" s="15" t="n"/>
      <c r="C82" s="14" t="n"/>
      <c r="D82" s="14" t="n"/>
      <c r="E82" s="16" t="n"/>
      <c r="F82" s="17" t="n"/>
      <c r="G82" s="16" t="n"/>
      <c r="H82" s="17" t="n"/>
      <c r="I82" s="16">
        <f>IF(G82="","",G82-E82)</f>
        <v/>
      </c>
      <c r="J82" s="14">
        <f>IF(G82="","",IF(ABS(I82)&gt;=Parametros!$B$4,"ATIVA","ESTAVEL"))</f>
        <v/>
      </c>
      <c r="K82" s="15" t="n"/>
      <c r="L82" s="14" t="n"/>
      <c r="M82" s="14" t="n"/>
      <c r="N82" s="14">
        <f>IF(G82="","",IF(M82="Sim","ALTA",IF(AND(OR(K82="Cisalhamento",K82="Recalque diferencial"),J82="ATIVA"),"ALTA",IF(OR(J82="ATIVA",G82&gt;Parametros!$B$5),"MEDIA","BAIXA"))))</f>
        <v/>
      </c>
      <c r="O82" s="15">
        <f>IF(N82="","",IF(N82="ALTA","Escorar/interditar e acionar calculista",IF(N82="MEDIA","Tratar a causa + monitorar","Monitorar e registrar")))</f>
        <v/>
      </c>
      <c r="P82" s="15" t="n"/>
    </row>
    <row r="83">
      <c r="A83" s="10" t="n"/>
      <c r="B83" s="11" t="n"/>
      <c r="C83" s="10" t="n"/>
      <c r="D83" s="10" t="n"/>
      <c r="E83" s="12" t="n"/>
      <c r="F83" s="13" t="n"/>
      <c r="G83" s="12" t="n"/>
      <c r="H83" s="13" t="n"/>
      <c r="I83" s="12">
        <f>IF(G83="","",G83-E83)</f>
        <v/>
      </c>
      <c r="J83" s="10">
        <f>IF(G83="","",IF(ABS(I83)&gt;=Parametros!$B$4,"ATIVA","ESTAVEL"))</f>
        <v/>
      </c>
      <c r="K83" s="11" t="n"/>
      <c r="L83" s="10" t="n"/>
      <c r="M83" s="10" t="n"/>
      <c r="N83" s="10">
        <f>IF(G83="","",IF(M83="Sim","ALTA",IF(AND(OR(K83="Cisalhamento",K83="Recalque diferencial"),J83="ATIVA"),"ALTA",IF(OR(J83="ATIVA",G83&gt;Parametros!$B$5),"MEDIA","BAIXA"))))</f>
        <v/>
      </c>
      <c r="O83" s="11">
        <f>IF(N83="","",IF(N83="ALTA","Escorar/interditar e acionar calculista",IF(N83="MEDIA","Tratar a causa + monitorar","Monitorar e registrar")))</f>
        <v/>
      </c>
      <c r="P83" s="11" t="n"/>
    </row>
    <row r="84">
      <c r="A84" s="14" t="n"/>
      <c r="B84" s="15" t="n"/>
      <c r="C84" s="14" t="n"/>
      <c r="D84" s="14" t="n"/>
      <c r="E84" s="16" t="n"/>
      <c r="F84" s="17" t="n"/>
      <c r="G84" s="16" t="n"/>
      <c r="H84" s="17" t="n"/>
      <c r="I84" s="16">
        <f>IF(G84="","",G84-E84)</f>
        <v/>
      </c>
      <c r="J84" s="14">
        <f>IF(G84="","",IF(ABS(I84)&gt;=Parametros!$B$4,"ATIVA","ESTAVEL"))</f>
        <v/>
      </c>
      <c r="K84" s="15" t="n"/>
      <c r="L84" s="14" t="n"/>
      <c r="M84" s="14" t="n"/>
      <c r="N84" s="14">
        <f>IF(G84="","",IF(M84="Sim","ALTA",IF(AND(OR(K84="Cisalhamento",K84="Recalque diferencial"),J84="ATIVA"),"ALTA",IF(OR(J84="ATIVA",G84&gt;Parametros!$B$5),"MEDIA","BAIXA"))))</f>
        <v/>
      </c>
      <c r="O84" s="15">
        <f>IF(N84="","",IF(N84="ALTA","Escorar/interditar e acionar calculista",IF(N84="MEDIA","Tratar a causa + monitorar","Monitorar e registrar")))</f>
        <v/>
      </c>
      <c r="P84" s="15" t="n"/>
    </row>
    <row r="85">
      <c r="A85" s="10" t="n"/>
      <c r="B85" s="11" t="n"/>
      <c r="C85" s="10" t="n"/>
      <c r="D85" s="10" t="n"/>
      <c r="E85" s="12" t="n"/>
      <c r="F85" s="13" t="n"/>
      <c r="G85" s="12" t="n"/>
      <c r="H85" s="13" t="n"/>
      <c r="I85" s="12">
        <f>IF(G85="","",G85-E85)</f>
        <v/>
      </c>
      <c r="J85" s="10">
        <f>IF(G85="","",IF(ABS(I85)&gt;=Parametros!$B$4,"ATIVA","ESTAVEL"))</f>
        <v/>
      </c>
      <c r="K85" s="11" t="n"/>
      <c r="L85" s="10" t="n"/>
      <c r="M85" s="10" t="n"/>
      <c r="N85" s="10">
        <f>IF(G85="","",IF(M85="Sim","ALTA",IF(AND(OR(K85="Cisalhamento",K85="Recalque diferencial"),J85="ATIVA"),"ALTA",IF(OR(J85="ATIVA",G85&gt;Parametros!$B$5),"MEDIA","BAIXA"))))</f>
        <v/>
      </c>
      <c r="O85" s="11">
        <f>IF(N85="","",IF(N85="ALTA","Escorar/interditar e acionar calculista",IF(N85="MEDIA","Tratar a causa + monitorar","Monitorar e registrar")))</f>
        <v/>
      </c>
      <c r="P85" s="11" t="n"/>
    </row>
    <row r="86">
      <c r="A86" s="14" t="n"/>
      <c r="B86" s="15" t="n"/>
      <c r="C86" s="14" t="n"/>
      <c r="D86" s="14" t="n"/>
      <c r="E86" s="16" t="n"/>
      <c r="F86" s="17" t="n"/>
      <c r="G86" s="16" t="n"/>
      <c r="H86" s="17" t="n"/>
      <c r="I86" s="16">
        <f>IF(G86="","",G86-E86)</f>
        <v/>
      </c>
      <c r="J86" s="14">
        <f>IF(G86="","",IF(ABS(I86)&gt;=Parametros!$B$4,"ATIVA","ESTAVEL"))</f>
        <v/>
      </c>
      <c r="K86" s="15" t="n"/>
      <c r="L86" s="14" t="n"/>
      <c r="M86" s="14" t="n"/>
      <c r="N86" s="14">
        <f>IF(G86="","",IF(M86="Sim","ALTA",IF(AND(OR(K86="Cisalhamento",K86="Recalque diferencial"),J86="ATIVA"),"ALTA",IF(OR(J86="ATIVA",G86&gt;Parametros!$B$5),"MEDIA","BAIXA"))))</f>
        <v/>
      </c>
      <c r="O86" s="15">
        <f>IF(N86="","",IF(N86="ALTA","Escorar/interditar e acionar calculista",IF(N86="MEDIA","Tratar a causa + monitorar","Monitorar e registrar")))</f>
        <v/>
      </c>
      <c r="P86" s="15" t="n"/>
    </row>
    <row r="87">
      <c r="A87" s="10" t="n"/>
      <c r="B87" s="11" t="n"/>
      <c r="C87" s="10" t="n"/>
      <c r="D87" s="10" t="n"/>
      <c r="E87" s="12" t="n"/>
      <c r="F87" s="13" t="n"/>
      <c r="G87" s="12" t="n"/>
      <c r="H87" s="13" t="n"/>
      <c r="I87" s="12">
        <f>IF(G87="","",G87-E87)</f>
        <v/>
      </c>
      <c r="J87" s="10">
        <f>IF(G87="","",IF(ABS(I87)&gt;=Parametros!$B$4,"ATIVA","ESTAVEL"))</f>
        <v/>
      </c>
      <c r="K87" s="11" t="n"/>
      <c r="L87" s="10" t="n"/>
      <c r="M87" s="10" t="n"/>
      <c r="N87" s="10">
        <f>IF(G87="","",IF(M87="Sim","ALTA",IF(AND(OR(K87="Cisalhamento",K87="Recalque diferencial"),J87="ATIVA"),"ALTA",IF(OR(J87="ATIVA",G87&gt;Parametros!$B$5),"MEDIA","BAIXA"))))</f>
        <v/>
      </c>
      <c r="O87" s="11">
        <f>IF(N87="","",IF(N87="ALTA","Escorar/interditar e acionar calculista",IF(N87="MEDIA","Tratar a causa + monitorar","Monitorar e registrar")))</f>
        <v/>
      </c>
      <c r="P87" s="11" t="n"/>
    </row>
    <row r="88">
      <c r="A88" s="14" t="n"/>
      <c r="B88" s="15" t="n"/>
      <c r="C88" s="14" t="n"/>
      <c r="D88" s="14" t="n"/>
      <c r="E88" s="16" t="n"/>
      <c r="F88" s="17" t="n"/>
      <c r="G88" s="16" t="n"/>
      <c r="H88" s="17" t="n"/>
      <c r="I88" s="16">
        <f>IF(G88="","",G88-E88)</f>
        <v/>
      </c>
      <c r="J88" s="14">
        <f>IF(G88="","",IF(ABS(I88)&gt;=Parametros!$B$4,"ATIVA","ESTAVEL"))</f>
        <v/>
      </c>
      <c r="K88" s="15" t="n"/>
      <c r="L88" s="14" t="n"/>
      <c r="M88" s="14" t="n"/>
      <c r="N88" s="14">
        <f>IF(G88="","",IF(M88="Sim","ALTA",IF(AND(OR(K88="Cisalhamento",K88="Recalque diferencial"),J88="ATIVA"),"ALTA",IF(OR(J88="ATIVA",G88&gt;Parametros!$B$5),"MEDIA","BAIXA"))))</f>
        <v/>
      </c>
      <c r="O88" s="15">
        <f>IF(N88="","",IF(N88="ALTA","Escorar/interditar e acionar calculista",IF(N88="MEDIA","Tratar a causa + monitorar","Monitorar e registrar")))</f>
        <v/>
      </c>
      <c r="P88" s="15" t="n"/>
    </row>
    <row r="89">
      <c r="A89" s="10" t="n"/>
      <c r="B89" s="11" t="n"/>
      <c r="C89" s="10" t="n"/>
      <c r="D89" s="10" t="n"/>
      <c r="E89" s="12" t="n"/>
      <c r="F89" s="13" t="n"/>
      <c r="G89" s="12" t="n"/>
      <c r="H89" s="13" t="n"/>
      <c r="I89" s="12">
        <f>IF(G89="","",G89-E89)</f>
        <v/>
      </c>
      <c r="J89" s="10">
        <f>IF(G89="","",IF(ABS(I89)&gt;=Parametros!$B$4,"ATIVA","ESTAVEL"))</f>
        <v/>
      </c>
      <c r="K89" s="11" t="n"/>
      <c r="L89" s="10" t="n"/>
      <c r="M89" s="10" t="n"/>
      <c r="N89" s="10">
        <f>IF(G89="","",IF(M89="Sim","ALTA",IF(AND(OR(K89="Cisalhamento",K89="Recalque diferencial"),J89="ATIVA"),"ALTA",IF(OR(J89="ATIVA",G89&gt;Parametros!$B$5),"MEDIA","BAIXA"))))</f>
        <v/>
      </c>
      <c r="O89" s="11">
        <f>IF(N89="","",IF(N89="ALTA","Escorar/interditar e acionar calculista",IF(N89="MEDIA","Tratar a causa + monitorar","Monitorar e registrar")))</f>
        <v/>
      </c>
      <c r="P89" s="11" t="n"/>
    </row>
    <row r="90">
      <c r="A90" s="14" t="n"/>
      <c r="B90" s="15" t="n"/>
      <c r="C90" s="14" t="n"/>
      <c r="D90" s="14" t="n"/>
      <c r="E90" s="16" t="n"/>
      <c r="F90" s="17" t="n"/>
      <c r="G90" s="16" t="n"/>
      <c r="H90" s="17" t="n"/>
      <c r="I90" s="16">
        <f>IF(G90="","",G90-E90)</f>
        <v/>
      </c>
      <c r="J90" s="14">
        <f>IF(G90="","",IF(ABS(I90)&gt;=Parametros!$B$4,"ATIVA","ESTAVEL"))</f>
        <v/>
      </c>
      <c r="K90" s="15" t="n"/>
      <c r="L90" s="14" t="n"/>
      <c r="M90" s="14" t="n"/>
      <c r="N90" s="14">
        <f>IF(G90="","",IF(M90="Sim","ALTA",IF(AND(OR(K90="Cisalhamento",K90="Recalque diferencial"),J90="ATIVA"),"ALTA",IF(OR(J90="ATIVA",G90&gt;Parametros!$B$5),"MEDIA","BAIXA"))))</f>
        <v/>
      </c>
      <c r="O90" s="15">
        <f>IF(N90="","",IF(N90="ALTA","Escorar/interditar e acionar calculista",IF(N90="MEDIA","Tratar a causa + monitorar","Monitorar e registrar")))</f>
        <v/>
      </c>
      <c r="P90" s="15" t="n"/>
    </row>
    <row r="91">
      <c r="A91" s="10" t="n"/>
      <c r="B91" s="11" t="n"/>
      <c r="C91" s="10" t="n"/>
      <c r="D91" s="10" t="n"/>
      <c r="E91" s="12" t="n"/>
      <c r="F91" s="13" t="n"/>
      <c r="G91" s="12" t="n"/>
      <c r="H91" s="13" t="n"/>
      <c r="I91" s="12">
        <f>IF(G91="","",G91-E91)</f>
        <v/>
      </c>
      <c r="J91" s="10">
        <f>IF(G91="","",IF(ABS(I91)&gt;=Parametros!$B$4,"ATIVA","ESTAVEL"))</f>
        <v/>
      </c>
      <c r="K91" s="11" t="n"/>
      <c r="L91" s="10" t="n"/>
      <c r="M91" s="10" t="n"/>
      <c r="N91" s="10">
        <f>IF(G91="","",IF(M91="Sim","ALTA",IF(AND(OR(K91="Cisalhamento",K91="Recalque diferencial"),J91="ATIVA"),"ALTA",IF(OR(J91="ATIVA",G91&gt;Parametros!$B$5),"MEDIA","BAIXA"))))</f>
        <v/>
      </c>
      <c r="O91" s="11">
        <f>IF(N91="","",IF(N91="ALTA","Escorar/interditar e acionar calculista",IF(N91="MEDIA","Tratar a causa + monitorar","Monitorar e registrar")))</f>
        <v/>
      </c>
      <c r="P91" s="11" t="n"/>
    </row>
    <row r="92">
      <c r="A92" s="14" t="n"/>
      <c r="B92" s="15" t="n"/>
      <c r="C92" s="14" t="n"/>
      <c r="D92" s="14" t="n"/>
      <c r="E92" s="16" t="n"/>
      <c r="F92" s="17" t="n"/>
      <c r="G92" s="16" t="n"/>
      <c r="H92" s="17" t="n"/>
      <c r="I92" s="16">
        <f>IF(G92="","",G92-E92)</f>
        <v/>
      </c>
      <c r="J92" s="14">
        <f>IF(G92="","",IF(ABS(I92)&gt;=Parametros!$B$4,"ATIVA","ESTAVEL"))</f>
        <v/>
      </c>
      <c r="K92" s="15" t="n"/>
      <c r="L92" s="14" t="n"/>
      <c r="M92" s="14" t="n"/>
      <c r="N92" s="14">
        <f>IF(G92="","",IF(M92="Sim","ALTA",IF(AND(OR(K92="Cisalhamento",K92="Recalque diferencial"),J92="ATIVA"),"ALTA",IF(OR(J92="ATIVA",G92&gt;Parametros!$B$5),"MEDIA","BAIXA"))))</f>
        <v/>
      </c>
      <c r="O92" s="15">
        <f>IF(N92="","",IF(N92="ALTA","Escorar/interditar e acionar calculista",IF(N92="MEDIA","Tratar a causa + monitorar","Monitorar e registrar")))</f>
        <v/>
      </c>
      <c r="P92" s="15" t="n"/>
    </row>
    <row r="93">
      <c r="A93" s="10" t="n"/>
      <c r="B93" s="11" t="n"/>
      <c r="C93" s="10" t="n"/>
      <c r="D93" s="10" t="n"/>
      <c r="E93" s="12" t="n"/>
      <c r="F93" s="13" t="n"/>
      <c r="G93" s="12" t="n"/>
      <c r="H93" s="13" t="n"/>
      <c r="I93" s="12">
        <f>IF(G93="","",G93-E93)</f>
        <v/>
      </c>
      <c r="J93" s="10">
        <f>IF(G93="","",IF(ABS(I93)&gt;=Parametros!$B$4,"ATIVA","ESTAVEL"))</f>
        <v/>
      </c>
      <c r="K93" s="11" t="n"/>
      <c r="L93" s="10" t="n"/>
      <c r="M93" s="10" t="n"/>
      <c r="N93" s="10">
        <f>IF(G93="","",IF(M93="Sim","ALTA",IF(AND(OR(K93="Cisalhamento",K93="Recalque diferencial"),J93="ATIVA"),"ALTA",IF(OR(J93="ATIVA",G93&gt;Parametros!$B$5),"MEDIA","BAIXA"))))</f>
        <v/>
      </c>
      <c r="O93" s="11">
        <f>IF(N93="","",IF(N93="ALTA","Escorar/interditar e acionar calculista",IF(N93="MEDIA","Tratar a causa + monitorar","Monitorar e registrar")))</f>
        <v/>
      </c>
      <c r="P93" s="11" t="n"/>
    </row>
    <row r="94">
      <c r="A94" s="14" t="n"/>
      <c r="B94" s="15" t="n"/>
      <c r="C94" s="14" t="n"/>
      <c r="D94" s="14" t="n"/>
      <c r="E94" s="16" t="n"/>
      <c r="F94" s="17" t="n"/>
      <c r="G94" s="16" t="n"/>
      <c r="H94" s="17" t="n"/>
      <c r="I94" s="16">
        <f>IF(G94="","",G94-E94)</f>
        <v/>
      </c>
      <c r="J94" s="14">
        <f>IF(G94="","",IF(ABS(I94)&gt;=Parametros!$B$4,"ATIVA","ESTAVEL"))</f>
        <v/>
      </c>
      <c r="K94" s="15" t="n"/>
      <c r="L94" s="14" t="n"/>
      <c r="M94" s="14" t="n"/>
      <c r="N94" s="14">
        <f>IF(G94="","",IF(M94="Sim","ALTA",IF(AND(OR(K94="Cisalhamento",K94="Recalque diferencial"),J94="ATIVA"),"ALTA",IF(OR(J94="ATIVA",G94&gt;Parametros!$B$5),"MEDIA","BAIXA"))))</f>
        <v/>
      </c>
      <c r="O94" s="15">
        <f>IF(N94="","",IF(N94="ALTA","Escorar/interditar e acionar calculista",IF(N94="MEDIA","Tratar a causa + monitorar","Monitorar e registrar")))</f>
        <v/>
      </c>
      <c r="P94" s="15" t="n"/>
    </row>
    <row r="95">
      <c r="A95" s="10" t="n"/>
      <c r="B95" s="11" t="n"/>
      <c r="C95" s="10" t="n"/>
      <c r="D95" s="10" t="n"/>
      <c r="E95" s="12" t="n"/>
      <c r="F95" s="13" t="n"/>
      <c r="G95" s="12" t="n"/>
      <c r="H95" s="13" t="n"/>
      <c r="I95" s="12">
        <f>IF(G95="","",G95-E95)</f>
        <v/>
      </c>
      <c r="J95" s="10">
        <f>IF(G95="","",IF(ABS(I95)&gt;=Parametros!$B$4,"ATIVA","ESTAVEL"))</f>
        <v/>
      </c>
      <c r="K95" s="11" t="n"/>
      <c r="L95" s="10" t="n"/>
      <c r="M95" s="10" t="n"/>
      <c r="N95" s="10">
        <f>IF(G95="","",IF(M95="Sim","ALTA",IF(AND(OR(K95="Cisalhamento",K95="Recalque diferencial"),J95="ATIVA"),"ALTA",IF(OR(J95="ATIVA",G95&gt;Parametros!$B$5),"MEDIA","BAIXA"))))</f>
        <v/>
      </c>
      <c r="O95" s="11">
        <f>IF(N95="","",IF(N95="ALTA","Escorar/interditar e acionar calculista",IF(N95="MEDIA","Tratar a causa + monitorar","Monitorar e registrar")))</f>
        <v/>
      </c>
      <c r="P95" s="11" t="n"/>
    </row>
    <row r="96">
      <c r="A96" s="14" t="n"/>
      <c r="B96" s="15" t="n"/>
      <c r="C96" s="14" t="n"/>
      <c r="D96" s="14" t="n"/>
      <c r="E96" s="16" t="n"/>
      <c r="F96" s="17" t="n"/>
      <c r="G96" s="16" t="n"/>
      <c r="H96" s="17" t="n"/>
      <c r="I96" s="16">
        <f>IF(G96="","",G96-E96)</f>
        <v/>
      </c>
      <c r="J96" s="14">
        <f>IF(G96="","",IF(ABS(I96)&gt;=Parametros!$B$4,"ATIVA","ESTAVEL"))</f>
        <v/>
      </c>
      <c r="K96" s="15" t="n"/>
      <c r="L96" s="14" t="n"/>
      <c r="M96" s="14" t="n"/>
      <c r="N96" s="14">
        <f>IF(G96="","",IF(M96="Sim","ALTA",IF(AND(OR(K96="Cisalhamento",K96="Recalque diferencial"),J96="ATIVA"),"ALTA",IF(OR(J96="ATIVA",G96&gt;Parametros!$B$5),"MEDIA","BAIXA"))))</f>
        <v/>
      </c>
      <c r="O96" s="15">
        <f>IF(N96="","",IF(N96="ALTA","Escorar/interditar e acionar calculista",IF(N96="MEDIA","Tratar a causa + monitorar","Monitorar e registrar")))</f>
        <v/>
      </c>
      <c r="P96" s="15" t="n"/>
    </row>
    <row r="97">
      <c r="A97" s="10" t="n"/>
      <c r="B97" s="11" t="n"/>
      <c r="C97" s="10" t="n"/>
      <c r="D97" s="10" t="n"/>
      <c r="E97" s="12" t="n"/>
      <c r="F97" s="13" t="n"/>
      <c r="G97" s="12" t="n"/>
      <c r="H97" s="13" t="n"/>
      <c r="I97" s="12">
        <f>IF(G97="","",G97-E97)</f>
        <v/>
      </c>
      <c r="J97" s="10">
        <f>IF(G97="","",IF(ABS(I97)&gt;=Parametros!$B$4,"ATIVA","ESTAVEL"))</f>
        <v/>
      </c>
      <c r="K97" s="11" t="n"/>
      <c r="L97" s="10" t="n"/>
      <c r="M97" s="10" t="n"/>
      <c r="N97" s="10">
        <f>IF(G97="","",IF(M97="Sim","ALTA",IF(AND(OR(K97="Cisalhamento",K97="Recalque diferencial"),J97="ATIVA"),"ALTA",IF(OR(J97="ATIVA",G97&gt;Parametros!$B$5),"MEDIA","BAIXA"))))</f>
        <v/>
      </c>
      <c r="O97" s="11">
        <f>IF(N97="","",IF(N97="ALTA","Escorar/interditar e acionar calculista",IF(N97="MEDIA","Tratar a causa + monitorar","Monitorar e registrar")))</f>
        <v/>
      </c>
      <c r="P97" s="11" t="n"/>
    </row>
    <row r="98">
      <c r="A98" s="14" t="n"/>
      <c r="B98" s="15" t="n"/>
      <c r="C98" s="14" t="n"/>
      <c r="D98" s="14" t="n"/>
      <c r="E98" s="16" t="n"/>
      <c r="F98" s="17" t="n"/>
      <c r="G98" s="16" t="n"/>
      <c r="H98" s="17" t="n"/>
      <c r="I98" s="16">
        <f>IF(G98="","",G98-E98)</f>
        <v/>
      </c>
      <c r="J98" s="14">
        <f>IF(G98="","",IF(ABS(I98)&gt;=Parametros!$B$4,"ATIVA","ESTAVEL"))</f>
        <v/>
      </c>
      <c r="K98" s="15" t="n"/>
      <c r="L98" s="14" t="n"/>
      <c r="M98" s="14" t="n"/>
      <c r="N98" s="14">
        <f>IF(G98="","",IF(M98="Sim","ALTA",IF(AND(OR(K98="Cisalhamento",K98="Recalque diferencial"),J98="ATIVA"),"ALTA",IF(OR(J98="ATIVA",G98&gt;Parametros!$B$5),"MEDIA","BAIXA"))))</f>
        <v/>
      </c>
      <c r="O98" s="15">
        <f>IF(N98="","",IF(N98="ALTA","Escorar/interditar e acionar calculista",IF(N98="MEDIA","Tratar a causa + monitorar","Monitorar e registrar")))</f>
        <v/>
      </c>
      <c r="P98" s="15" t="n"/>
    </row>
    <row r="99">
      <c r="A99" s="10" t="n"/>
      <c r="B99" s="11" t="n"/>
      <c r="C99" s="10" t="n"/>
      <c r="D99" s="10" t="n"/>
      <c r="E99" s="12" t="n"/>
      <c r="F99" s="13" t="n"/>
      <c r="G99" s="12" t="n"/>
      <c r="H99" s="13" t="n"/>
      <c r="I99" s="12">
        <f>IF(G99="","",G99-E99)</f>
        <v/>
      </c>
      <c r="J99" s="10">
        <f>IF(G99="","",IF(ABS(I99)&gt;=Parametros!$B$4,"ATIVA","ESTAVEL"))</f>
        <v/>
      </c>
      <c r="K99" s="11" t="n"/>
      <c r="L99" s="10" t="n"/>
      <c r="M99" s="10" t="n"/>
      <c r="N99" s="10">
        <f>IF(G99="","",IF(M99="Sim","ALTA",IF(AND(OR(K99="Cisalhamento",K99="Recalque diferencial"),J99="ATIVA"),"ALTA",IF(OR(J99="ATIVA",G99&gt;Parametros!$B$5),"MEDIA","BAIXA"))))</f>
        <v/>
      </c>
      <c r="O99" s="11">
        <f>IF(N99="","",IF(N99="ALTA","Escorar/interditar e acionar calculista",IF(N99="MEDIA","Tratar a causa + monitorar","Monitorar e registrar")))</f>
        <v/>
      </c>
      <c r="P99" s="11" t="n"/>
    </row>
    <row r="100">
      <c r="A100" s="14" t="n"/>
      <c r="B100" s="15" t="n"/>
      <c r="C100" s="14" t="n"/>
      <c r="D100" s="14" t="n"/>
      <c r="E100" s="16" t="n"/>
      <c r="F100" s="17" t="n"/>
      <c r="G100" s="16" t="n"/>
      <c r="H100" s="17" t="n"/>
      <c r="I100" s="16">
        <f>IF(G100="","",G100-E100)</f>
        <v/>
      </c>
      <c r="J100" s="14">
        <f>IF(G100="","",IF(ABS(I100)&gt;=Parametros!$B$4,"ATIVA","ESTAVEL"))</f>
        <v/>
      </c>
      <c r="K100" s="15" t="n"/>
      <c r="L100" s="14" t="n"/>
      <c r="M100" s="14" t="n"/>
      <c r="N100" s="14">
        <f>IF(G100="","",IF(M100="Sim","ALTA",IF(AND(OR(K100="Cisalhamento",K100="Recalque diferencial"),J100="ATIVA"),"ALTA",IF(OR(J100="ATIVA",G100&gt;Parametros!$B$5),"MEDIA","BAIXA"))))</f>
        <v/>
      </c>
      <c r="O100" s="15">
        <f>IF(N100="","",IF(N100="ALTA","Escorar/interditar e acionar calculista",IF(N100="MEDIA","Tratar a causa + monitorar","Monitorar e registrar")))</f>
        <v/>
      </c>
      <c r="P100" s="15" t="n"/>
    </row>
    <row r="101">
      <c r="A101" s="10" t="n"/>
      <c r="B101" s="11" t="n"/>
      <c r="C101" s="10" t="n"/>
      <c r="D101" s="10" t="n"/>
      <c r="E101" s="12" t="n"/>
      <c r="F101" s="13" t="n"/>
      <c r="G101" s="12" t="n"/>
      <c r="H101" s="13" t="n"/>
      <c r="I101" s="12">
        <f>IF(G101="","",G101-E101)</f>
        <v/>
      </c>
      <c r="J101" s="10">
        <f>IF(G101="","",IF(ABS(I101)&gt;=Parametros!$B$4,"ATIVA","ESTAVEL"))</f>
        <v/>
      </c>
      <c r="K101" s="11" t="n"/>
      <c r="L101" s="10" t="n"/>
      <c r="M101" s="10" t="n"/>
      <c r="N101" s="10">
        <f>IF(G101="","",IF(M101="Sim","ALTA",IF(AND(OR(K101="Cisalhamento",K101="Recalque diferencial"),J101="ATIVA"),"ALTA",IF(OR(J101="ATIVA",G101&gt;Parametros!$B$5),"MEDIA","BAIXA"))))</f>
        <v/>
      </c>
      <c r="O101" s="11">
        <f>IF(N101="","",IF(N101="ALTA","Escorar/interditar e acionar calculista",IF(N101="MEDIA","Tratar a causa + monitorar","Monitorar e registrar")))</f>
        <v/>
      </c>
      <c r="P101" s="11" t="n"/>
    </row>
    <row r="102">
      <c r="A102" s="14" t="n"/>
      <c r="B102" s="15" t="n"/>
      <c r="C102" s="14" t="n"/>
      <c r="D102" s="14" t="n"/>
      <c r="E102" s="16" t="n"/>
      <c r="F102" s="17" t="n"/>
      <c r="G102" s="16" t="n"/>
      <c r="H102" s="17" t="n"/>
      <c r="I102" s="16">
        <f>IF(G102="","",G102-E102)</f>
        <v/>
      </c>
      <c r="J102" s="14">
        <f>IF(G102="","",IF(ABS(I102)&gt;=Parametros!$B$4,"ATIVA","ESTAVEL"))</f>
        <v/>
      </c>
      <c r="K102" s="15" t="n"/>
      <c r="L102" s="14" t="n"/>
      <c r="M102" s="14" t="n"/>
      <c r="N102" s="14">
        <f>IF(G102="","",IF(M102="Sim","ALTA",IF(AND(OR(K102="Cisalhamento",K102="Recalque diferencial"),J102="ATIVA"),"ALTA",IF(OR(J102="ATIVA",G102&gt;Parametros!$B$5),"MEDIA","BAIXA"))))</f>
        <v/>
      </c>
      <c r="O102" s="15">
        <f>IF(N102="","",IF(N102="ALTA","Escorar/interditar e acionar calculista",IF(N102="MEDIA","Tratar a causa + monitorar","Monitorar e registrar")))</f>
        <v/>
      </c>
      <c r="P102" s="15" t="n"/>
    </row>
    <row r="103">
      <c r="A103" s="10" t="n"/>
      <c r="B103" s="11" t="n"/>
      <c r="C103" s="10" t="n"/>
      <c r="D103" s="10" t="n"/>
      <c r="E103" s="12" t="n"/>
      <c r="F103" s="13" t="n"/>
      <c r="G103" s="12" t="n"/>
      <c r="H103" s="13" t="n"/>
      <c r="I103" s="12">
        <f>IF(G103="","",G103-E103)</f>
        <v/>
      </c>
      <c r="J103" s="10">
        <f>IF(G103="","",IF(ABS(I103)&gt;=Parametros!$B$4,"ATIVA","ESTAVEL"))</f>
        <v/>
      </c>
      <c r="K103" s="11" t="n"/>
      <c r="L103" s="10" t="n"/>
      <c r="M103" s="10" t="n"/>
      <c r="N103" s="10">
        <f>IF(G103="","",IF(M103="Sim","ALTA",IF(AND(OR(K103="Cisalhamento",K103="Recalque diferencial"),J103="ATIVA"),"ALTA",IF(OR(J103="ATIVA",G103&gt;Parametros!$B$5),"MEDIA","BAIXA"))))</f>
        <v/>
      </c>
      <c r="O103" s="11">
        <f>IF(N103="","",IF(N103="ALTA","Escorar/interditar e acionar calculista",IF(N103="MEDIA","Tratar a causa + monitorar","Monitorar e registrar")))</f>
        <v/>
      </c>
      <c r="P103" s="11" t="n"/>
    </row>
    <row r="104">
      <c r="A104" s="14" t="n"/>
      <c r="B104" s="15" t="n"/>
      <c r="C104" s="14" t="n"/>
      <c r="D104" s="14" t="n"/>
      <c r="E104" s="16" t="n"/>
      <c r="F104" s="17" t="n"/>
      <c r="G104" s="16" t="n"/>
      <c r="H104" s="17" t="n"/>
      <c r="I104" s="16">
        <f>IF(G104="","",G104-E104)</f>
        <v/>
      </c>
      <c r="J104" s="14">
        <f>IF(G104="","",IF(ABS(I104)&gt;=Parametros!$B$4,"ATIVA","ESTAVEL"))</f>
        <v/>
      </c>
      <c r="K104" s="15" t="n"/>
      <c r="L104" s="14" t="n"/>
      <c r="M104" s="14" t="n"/>
      <c r="N104" s="14">
        <f>IF(G104="","",IF(M104="Sim","ALTA",IF(AND(OR(K104="Cisalhamento",K104="Recalque diferencial"),J104="ATIVA"),"ALTA",IF(OR(J104="ATIVA",G104&gt;Parametros!$B$5),"MEDIA","BAIXA"))))</f>
        <v/>
      </c>
      <c r="O104" s="15">
        <f>IF(N104="","",IF(N104="ALTA","Escorar/interditar e acionar calculista",IF(N104="MEDIA","Tratar a causa + monitorar","Monitorar e registrar")))</f>
        <v/>
      </c>
      <c r="P104" s="15" t="n"/>
    </row>
    <row r="105">
      <c r="A105" s="10" t="n"/>
      <c r="B105" s="11" t="n"/>
      <c r="C105" s="10" t="n"/>
      <c r="D105" s="10" t="n"/>
      <c r="E105" s="12" t="n"/>
      <c r="F105" s="13" t="n"/>
      <c r="G105" s="12" t="n"/>
      <c r="H105" s="13" t="n"/>
      <c r="I105" s="12">
        <f>IF(G105="","",G105-E105)</f>
        <v/>
      </c>
      <c r="J105" s="10">
        <f>IF(G105="","",IF(ABS(I105)&gt;=Parametros!$B$4,"ATIVA","ESTAVEL"))</f>
        <v/>
      </c>
      <c r="K105" s="11" t="n"/>
      <c r="L105" s="10" t="n"/>
      <c r="M105" s="10" t="n"/>
      <c r="N105" s="10">
        <f>IF(G105="","",IF(M105="Sim","ALTA",IF(AND(OR(K105="Cisalhamento",K105="Recalque diferencial"),J105="ATIVA"),"ALTA",IF(OR(J105="ATIVA",G105&gt;Parametros!$B$5),"MEDIA","BAIXA"))))</f>
        <v/>
      </c>
      <c r="O105" s="11">
        <f>IF(N105="","",IF(N105="ALTA","Escorar/interditar e acionar calculista",IF(N105="MEDIA","Tratar a causa + monitorar","Monitorar e registrar")))</f>
        <v/>
      </c>
      <c r="P105" s="11" t="n"/>
    </row>
    <row r="106">
      <c r="A106" s="14" t="n"/>
      <c r="B106" s="15" t="n"/>
      <c r="C106" s="14" t="n"/>
      <c r="D106" s="14" t="n"/>
      <c r="E106" s="16" t="n"/>
      <c r="F106" s="17" t="n"/>
      <c r="G106" s="16" t="n"/>
      <c r="H106" s="17" t="n"/>
      <c r="I106" s="16">
        <f>IF(G106="","",G106-E106)</f>
        <v/>
      </c>
      <c r="J106" s="14">
        <f>IF(G106="","",IF(ABS(I106)&gt;=Parametros!$B$4,"ATIVA","ESTAVEL"))</f>
        <v/>
      </c>
      <c r="K106" s="15" t="n"/>
      <c r="L106" s="14" t="n"/>
      <c r="M106" s="14" t="n"/>
      <c r="N106" s="14">
        <f>IF(G106="","",IF(M106="Sim","ALTA",IF(AND(OR(K106="Cisalhamento",K106="Recalque diferencial"),J106="ATIVA"),"ALTA",IF(OR(J106="ATIVA",G106&gt;Parametros!$B$5),"MEDIA","BAIXA"))))</f>
        <v/>
      </c>
      <c r="O106" s="15">
        <f>IF(N106="","",IF(N106="ALTA","Escorar/interditar e acionar calculista",IF(N106="MEDIA","Tratar a causa + monitorar","Monitorar e registrar")))</f>
        <v/>
      </c>
      <c r="P106" s="15" t="n"/>
    </row>
    <row r="107">
      <c r="A107" s="10" t="n"/>
      <c r="B107" s="11" t="n"/>
      <c r="C107" s="10" t="n"/>
      <c r="D107" s="10" t="n"/>
      <c r="E107" s="12" t="n"/>
      <c r="F107" s="13" t="n"/>
      <c r="G107" s="12" t="n"/>
      <c r="H107" s="13" t="n"/>
      <c r="I107" s="12">
        <f>IF(G107="","",G107-E107)</f>
        <v/>
      </c>
      <c r="J107" s="10">
        <f>IF(G107="","",IF(ABS(I107)&gt;=Parametros!$B$4,"ATIVA","ESTAVEL"))</f>
        <v/>
      </c>
      <c r="K107" s="11" t="n"/>
      <c r="L107" s="10" t="n"/>
      <c r="M107" s="10" t="n"/>
      <c r="N107" s="10">
        <f>IF(G107="","",IF(M107="Sim","ALTA",IF(AND(OR(K107="Cisalhamento",K107="Recalque diferencial"),J107="ATIVA"),"ALTA",IF(OR(J107="ATIVA",G107&gt;Parametros!$B$5),"MEDIA","BAIXA"))))</f>
        <v/>
      </c>
      <c r="O107" s="11">
        <f>IF(N107="","",IF(N107="ALTA","Escorar/interditar e acionar calculista",IF(N107="MEDIA","Tratar a causa + monitorar","Monitorar e registrar")))</f>
        <v/>
      </c>
      <c r="P107" s="11" t="n"/>
    </row>
    <row r="108">
      <c r="A108" s="14" t="n"/>
      <c r="B108" s="15" t="n"/>
      <c r="C108" s="14" t="n"/>
      <c r="D108" s="14" t="n"/>
      <c r="E108" s="16" t="n"/>
      <c r="F108" s="17" t="n"/>
      <c r="G108" s="16" t="n"/>
      <c r="H108" s="17" t="n"/>
      <c r="I108" s="16">
        <f>IF(G108="","",G108-E108)</f>
        <v/>
      </c>
      <c r="J108" s="14">
        <f>IF(G108="","",IF(ABS(I108)&gt;=Parametros!$B$4,"ATIVA","ESTAVEL"))</f>
        <v/>
      </c>
      <c r="K108" s="15" t="n"/>
      <c r="L108" s="14" t="n"/>
      <c r="M108" s="14" t="n"/>
      <c r="N108" s="14">
        <f>IF(G108="","",IF(M108="Sim","ALTA",IF(AND(OR(K108="Cisalhamento",K108="Recalque diferencial"),J108="ATIVA"),"ALTA",IF(OR(J108="ATIVA",G108&gt;Parametros!$B$5),"MEDIA","BAIXA"))))</f>
        <v/>
      </c>
      <c r="O108" s="15">
        <f>IF(N108="","",IF(N108="ALTA","Escorar/interditar e acionar calculista",IF(N108="MEDIA","Tratar a causa + monitorar","Monitorar e registrar")))</f>
        <v/>
      </c>
      <c r="P108" s="15" t="n"/>
    </row>
    <row r="109">
      <c r="A109" s="10" t="n"/>
      <c r="B109" s="11" t="n"/>
      <c r="C109" s="10" t="n"/>
      <c r="D109" s="10" t="n"/>
      <c r="E109" s="12" t="n"/>
      <c r="F109" s="13" t="n"/>
      <c r="G109" s="12" t="n"/>
      <c r="H109" s="13" t="n"/>
      <c r="I109" s="12">
        <f>IF(G109="","",G109-E109)</f>
        <v/>
      </c>
      <c r="J109" s="10">
        <f>IF(G109="","",IF(ABS(I109)&gt;=Parametros!$B$4,"ATIVA","ESTAVEL"))</f>
        <v/>
      </c>
      <c r="K109" s="11" t="n"/>
      <c r="L109" s="10" t="n"/>
      <c r="M109" s="10" t="n"/>
      <c r="N109" s="10">
        <f>IF(G109="","",IF(M109="Sim","ALTA",IF(AND(OR(K109="Cisalhamento",K109="Recalque diferencial"),J109="ATIVA"),"ALTA",IF(OR(J109="ATIVA",G109&gt;Parametros!$B$5),"MEDIA","BAIXA"))))</f>
        <v/>
      </c>
      <c r="O109" s="11">
        <f>IF(N109="","",IF(N109="ALTA","Escorar/interditar e acionar calculista",IF(N109="MEDIA","Tratar a causa + monitorar","Monitorar e registrar")))</f>
        <v/>
      </c>
      <c r="P109" s="11" t="n"/>
    </row>
    <row r="110">
      <c r="A110" s="14" t="n"/>
      <c r="B110" s="15" t="n"/>
      <c r="C110" s="14" t="n"/>
      <c r="D110" s="14" t="n"/>
      <c r="E110" s="16" t="n"/>
      <c r="F110" s="17" t="n"/>
      <c r="G110" s="16" t="n"/>
      <c r="H110" s="17" t="n"/>
      <c r="I110" s="16">
        <f>IF(G110="","",G110-E110)</f>
        <v/>
      </c>
      <c r="J110" s="14">
        <f>IF(G110="","",IF(ABS(I110)&gt;=Parametros!$B$4,"ATIVA","ESTAVEL"))</f>
        <v/>
      </c>
      <c r="K110" s="15" t="n"/>
      <c r="L110" s="14" t="n"/>
      <c r="M110" s="14" t="n"/>
      <c r="N110" s="14">
        <f>IF(G110="","",IF(M110="Sim","ALTA",IF(AND(OR(K110="Cisalhamento",K110="Recalque diferencial"),J110="ATIVA"),"ALTA",IF(OR(J110="ATIVA",G110&gt;Parametros!$B$5),"MEDIA","BAIXA"))))</f>
        <v/>
      </c>
      <c r="O110" s="15">
        <f>IF(N110="","",IF(N110="ALTA","Escorar/interditar e acionar calculista",IF(N110="MEDIA","Tratar a causa + monitorar","Monitorar e registrar")))</f>
        <v/>
      </c>
      <c r="P110" s="15" t="n"/>
    </row>
    <row r="111">
      <c r="A111" s="10" t="n"/>
      <c r="B111" s="11" t="n"/>
      <c r="C111" s="10" t="n"/>
      <c r="D111" s="10" t="n"/>
      <c r="E111" s="12" t="n"/>
      <c r="F111" s="13" t="n"/>
      <c r="G111" s="12" t="n"/>
      <c r="H111" s="13" t="n"/>
      <c r="I111" s="12">
        <f>IF(G111="","",G111-E111)</f>
        <v/>
      </c>
      <c r="J111" s="10">
        <f>IF(G111="","",IF(ABS(I111)&gt;=Parametros!$B$4,"ATIVA","ESTAVEL"))</f>
        <v/>
      </c>
      <c r="K111" s="11" t="n"/>
      <c r="L111" s="10" t="n"/>
      <c r="M111" s="10" t="n"/>
      <c r="N111" s="10">
        <f>IF(G111="","",IF(M111="Sim","ALTA",IF(AND(OR(K111="Cisalhamento",K111="Recalque diferencial"),J111="ATIVA"),"ALTA",IF(OR(J111="ATIVA",G111&gt;Parametros!$B$5),"MEDIA","BAIXA"))))</f>
        <v/>
      </c>
      <c r="O111" s="11">
        <f>IF(N111="","",IF(N111="ALTA","Escorar/interditar e acionar calculista",IF(N111="MEDIA","Tratar a causa + monitorar","Monitorar e registrar")))</f>
        <v/>
      </c>
      <c r="P111" s="11" t="n"/>
    </row>
    <row r="112">
      <c r="A112" s="14" t="n"/>
      <c r="B112" s="15" t="n"/>
      <c r="C112" s="14" t="n"/>
      <c r="D112" s="14" t="n"/>
      <c r="E112" s="16" t="n"/>
      <c r="F112" s="17" t="n"/>
      <c r="G112" s="16" t="n"/>
      <c r="H112" s="17" t="n"/>
      <c r="I112" s="16">
        <f>IF(G112="","",G112-E112)</f>
        <v/>
      </c>
      <c r="J112" s="14">
        <f>IF(G112="","",IF(ABS(I112)&gt;=Parametros!$B$4,"ATIVA","ESTAVEL"))</f>
        <v/>
      </c>
      <c r="K112" s="15" t="n"/>
      <c r="L112" s="14" t="n"/>
      <c r="M112" s="14" t="n"/>
      <c r="N112" s="14">
        <f>IF(G112="","",IF(M112="Sim","ALTA",IF(AND(OR(K112="Cisalhamento",K112="Recalque diferencial"),J112="ATIVA"),"ALTA",IF(OR(J112="ATIVA",G112&gt;Parametros!$B$5),"MEDIA","BAIXA"))))</f>
        <v/>
      </c>
      <c r="O112" s="15">
        <f>IF(N112="","",IF(N112="ALTA","Escorar/interditar e acionar calculista",IF(N112="MEDIA","Tratar a causa + monitorar","Monitorar e registrar")))</f>
        <v/>
      </c>
      <c r="P112" s="15" t="n"/>
    </row>
    <row r="113">
      <c r="A113" s="10" t="n"/>
      <c r="B113" s="11" t="n"/>
      <c r="C113" s="10" t="n"/>
      <c r="D113" s="10" t="n"/>
      <c r="E113" s="12" t="n"/>
      <c r="F113" s="13" t="n"/>
      <c r="G113" s="12" t="n"/>
      <c r="H113" s="13" t="n"/>
      <c r="I113" s="12">
        <f>IF(G113="","",G113-E113)</f>
        <v/>
      </c>
      <c r="J113" s="10">
        <f>IF(G113="","",IF(ABS(I113)&gt;=Parametros!$B$4,"ATIVA","ESTAVEL"))</f>
        <v/>
      </c>
      <c r="K113" s="11" t="n"/>
      <c r="L113" s="10" t="n"/>
      <c r="M113" s="10" t="n"/>
      <c r="N113" s="10">
        <f>IF(G113="","",IF(M113="Sim","ALTA",IF(AND(OR(K113="Cisalhamento",K113="Recalque diferencial"),J113="ATIVA"),"ALTA",IF(OR(J113="ATIVA",G113&gt;Parametros!$B$5),"MEDIA","BAIXA"))))</f>
        <v/>
      </c>
      <c r="O113" s="11">
        <f>IF(N113="","",IF(N113="ALTA","Escorar/interditar e acionar calculista",IF(N113="MEDIA","Tratar a causa + monitorar","Monitorar e registrar")))</f>
        <v/>
      </c>
      <c r="P113" s="11" t="n"/>
    </row>
    <row r="114">
      <c r="A114" s="14" t="n"/>
      <c r="B114" s="15" t="n"/>
      <c r="C114" s="14" t="n"/>
      <c r="D114" s="14" t="n"/>
      <c r="E114" s="16" t="n"/>
      <c r="F114" s="17" t="n"/>
      <c r="G114" s="16" t="n"/>
      <c r="H114" s="17" t="n"/>
      <c r="I114" s="16">
        <f>IF(G114="","",G114-E114)</f>
        <v/>
      </c>
      <c r="J114" s="14">
        <f>IF(G114="","",IF(ABS(I114)&gt;=Parametros!$B$4,"ATIVA","ESTAVEL"))</f>
        <v/>
      </c>
      <c r="K114" s="15" t="n"/>
      <c r="L114" s="14" t="n"/>
      <c r="M114" s="14" t="n"/>
      <c r="N114" s="14">
        <f>IF(G114="","",IF(M114="Sim","ALTA",IF(AND(OR(K114="Cisalhamento",K114="Recalque diferencial"),J114="ATIVA"),"ALTA",IF(OR(J114="ATIVA",G114&gt;Parametros!$B$5),"MEDIA","BAIXA"))))</f>
        <v/>
      </c>
      <c r="O114" s="15">
        <f>IF(N114="","",IF(N114="ALTA","Escorar/interditar e acionar calculista",IF(N114="MEDIA","Tratar a causa + monitorar","Monitorar e registrar")))</f>
        <v/>
      </c>
      <c r="P114" s="15" t="n"/>
    </row>
    <row r="115">
      <c r="A115" s="10" t="n"/>
      <c r="B115" s="11" t="n"/>
      <c r="C115" s="10" t="n"/>
      <c r="D115" s="10" t="n"/>
      <c r="E115" s="12" t="n"/>
      <c r="F115" s="13" t="n"/>
      <c r="G115" s="12" t="n"/>
      <c r="H115" s="13" t="n"/>
      <c r="I115" s="12">
        <f>IF(G115="","",G115-E115)</f>
        <v/>
      </c>
      <c r="J115" s="10">
        <f>IF(G115="","",IF(ABS(I115)&gt;=Parametros!$B$4,"ATIVA","ESTAVEL"))</f>
        <v/>
      </c>
      <c r="K115" s="11" t="n"/>
      <c r="L115" s="10" t="n"/>
      <c r="M115" s="10" t="n"/>
      <c r="N115" s="10">
        <f>IF(G115="","",IF(M115="Sim","ALTA",IF(AND(OR(K115="Cisalhamento",K115="Recalque diferencial"),J115="ATIVA"),"ALTA",IF(OR(J115="ATIVA",G115&gt;Parametros!$B$5),"MEDIA","BAIXA"))))</f>
        <v/>
      </c>
      <c r="O115" s="11">
        <f>IF(N115="","",IF(N115="ALTA","Escorar/interditar e acionar calculista",IF(N115="MEDIA","Tratar a causa + monitorar","Monitorar e registrar")))</f>
        <v/>
      </c>
      <c r="P115" s="11" t="n"/>
    </row>
    <row r="116">
      <c r="A116" s="14" t="n"/>
      <c r="B116" s="15" t="n"/>
      <c r="C116" s="14" t="n"/>
      <c r="D116" s="14" t="n"/>
      <c r="E116" s="16" t="n"/>
      <c r="F116" s="17" t="n"/>
      <c r="G116" s="16" t="n"/>
      <c r="H116" s="17" t="n"/>
      <c r="I116" s="16">
        <f>IF(G116="","",G116-E116)</f>
        <v/>
      </c>
      <c r="J116" s="14">
        <f>IF(G116="","",IF(ABS(I116)&gt;=Parametros!$B$4,"ATIVA","ESTAVEL"))</f>
        <v/>
      </c>
      <c r="K116" s="15" t="n"/>
      <c r="L116" s="14" t="n"/>
      <c r="M116" s="14" t="n"/>
      <c r="N116" s="14">
        <f>IF(G116="","",IF(M116="Sim","ALTA",IF(AND(OR(K116="Cisalhamento",K116="Recalque diferencial"),J116="ATIVA"),"ALTA",IF(OR(J116="ATIVA",G116&gt;Parametros!$B$5),"MEDIA","BAIXA"))))</f>
        <v/>
      </c>
      <c r="O116" s="15">
        <f>IF(N116="","",IF(N116="ALTA","Escorar/interditar e acionar calculista",IF(N116="MEDIA","Tratar a causa + monitorar","Monitorar e registrar")))</f>
        <v/>
      </c>
      <c r="P116" s="15" t="n"/>
    </row>
    <row r="117">
      <c r="A117" s="10" t="n"/>
      <c r="B117" s="11" t="n"/>
      <c r="C117" s="10" t="n"/>
      <c r="D117" s="10" t="n"/>
      <c r="E117" s="12" t="n"/>
      <c r="F117" s="13" t="n"/>
      <c r="G117" s="12" t="n"/>
      <c r="H117" s="13" t="n"/>
      <c r="I117" s="12">
        <f>IF(G117="","",G117-E117)</f>
        <v/>
      </c>
      <c r="J117" s="10">
        <f>IF(G117="","",IF(ABS(I117)&gt;=Parametros!$B$4,"ATIVA","ESTAVEL"))</f>
        <v/>
      </c>
      <c r="K117" s="11" t="n"/>
      <c r="L117" s="10" t="n"/>
      <c r="M117" s="10" t="n"/>
      <c r="N117" s="10">
        <f>IF(G117="","",IF(M117="Sim","ALTA",IF(AND(OR(K117="Cisalhamento",K117="Recalque diferencial"),J117="ATIVA"),"ALTA",IF(OR(J117="ATIVA",G117&gt;Parametros!$B$5),"MEDIA","BAIXA"))))</f>
        <v/>
      </c>
      <c r="O117" s="11">
        <f>IF(N117="","",IF(N117="ALTA","Escorar/interditar e acionar calculista",IF(N117="MEDIA","Tratar a causa + monitorar","Monitorar e registrar")))</f>
        <v/>
      </c>
      <c r="P117" s="11" t="n"/>
    </row>
    <row r="118">
      <c r="A118" s="14" t="n"/>
      <c r="B118" s="15" t="n"/>
      <c r="C118" s="14" t="n"/>
      <c r="D118" s="14" t="n"/>
      <c r="E118" s="16" t="n"/>
      <c r="F118" s="17" t="n"/>
      <c r="G118" s="16" t="n"/>
      <c r="H118" s="17" t="n"/>
      <c r="I118" s="16">
        <f>IF(G118="","",G118-E118)</f>
        <v/>
      </c>
      <c r="J118" s="14">
        <f>IF(G118="","",IF(ABS(I118)&gt;=Parametros!$B$4,"ATIVA","ESTAVEL"))</f>
        <v/>
      </c>
      <c r="K118" s="15" t="n"/>
      <c r="L118" s="14" t="n"/>
      <c r="M118" s="14" t="n"/>
      <c r="N118" s="14">
        <f>IF(G118="","",IF(M118="Sim","ALTA",IF(AND(OR(K118="Cisalhamento",K118="Recalque diferencial"),J118="ATIVA"),"ALTA",IF(OR(J118="ATIVA",G118&gt;Parametros!$B$5),"MEDIA","BAIXA"))))</f>
        <v/>
      </c>
      <c r="O118" s="15">
        <f>IF(N118="","",IF(N118="ALTA","Escorar/interditar e acionar calculista",IF(N118="MEDIA","Tratar a causa + monitorar","Monitorar e registrar")))</f>
        <v/>
      </c>
      <c r="P118" s="15" t="n"/>
    </row>
    <row r="119">
      <c r="A119" s="10" t="n"/>
      <c r="B119" s="11" t="n"/>
      <c r="C119" s="10" t="n"/>
      <c r="D119" s="10" t="n"/>
      <c r="E119" s="12" t="n"/>
      <c r="F119" s="13" t="n"/>
      <c r="G119" s="12" t="n"/>
      <c r="H119" s="13" t="n"/>
      <c r="I119" s="12">
        <f>IF(G119="","",G119-E119)</f>
        <v/>
      </c>
      <c r="J119" s="10">
        <f>IF(G119="","",IF(ABS(I119)&gt;=Parametros!$B$4,"ATIVA","ESTAVEL"))</f>
        <v/>
      </c>
      <c r="K119" s="11" t="n"/>
      <c r="L119" s="10" t="n"/>
      <c r="M119" s="10" t="n"/>
      <c r="N119" s="10">
        <f>IF(G119="","",IF(M119="Sim","ALTA",IF(AND(OR(K119="Cisalhamento",K119="Recalque diferencial"),J119="ATIVA"),"ALTA",IF(OR(J119="ATIVA",G119&gt;Parametros!$B$5),"MEDIA","BAIXA"))))</f>
        <v/>
      </c>
      <c r="O119" s="11">
        <f>IF(N119="","",IF(N119="ALTA","Escorar/interditar e acionar calculista",IF(N119="MEDIA","Tratar a causa + monitorar","Monitorar e registrar")))</f>
        <v/>
      </c>
      <c r="P119" s="11" t="n"/>
    </row>
    <row r="120">
      <c r="A120" s="14" t="n"/>
      <c r="B120" s="15" t="n"/>
      <c r="C120" s="14" t="n"/>
      <c r="D120" s="14" t="n"/>
      <c r="E120" s="16" t="n"/>
      <c r="F120" s="17" t="n"/>
      <c r="G120" s="16" t="n"/>
      <c r="H120" s="17" t="n"/>
      <c r="I120" s="16">
        <f>IF(G120="","",G120-E120)</f>
        <v/>
      </c>
      <c r="J120" s="14">
        <f>IF(G120="","",IF(ABS(I120)&gt;=Parametros!$B$4,"ATIVA","ESTAVEL"))</f>
        <v/>
      </c>
      <c r="K120" s="15" t="n"/>
      <c r="L120" s="14" t="n"/>
      <c r="M120" s="14" t="n"/>
      <c r="N120" s="14">
        <f>IF(G120="","",IF(M120="Sim","ALTA",IF(AND(OR(K120="Cisalhamento",K120="Recalque diferencial"),J120="ATIVA"),"ALTA",IF(OR(J120="ATIVA",G120&gt;Parametros!$B$5),"MEDIA","BAIXA"))))</f>
        <v/>
      </c>
      <c r="O120" s="15">
        <f>IF(N120="","",IF(N120="ALTA","Escorar/interditar e acionar calculista",IF(N120="MEDIA","Tratar a causa + monitorar","Monitorar e registrar")))</f>
        <v/>
      </c>
      <c r="P120" s="15" t="n"/>
    </row>
    <row r="121">
      <c r="A121" s="10" t="n"/>
      <c r="B121" s="11" t="n"/>
      <c r="C121" s="10" t="n"/>
      <c r="D121" s="10" t="n"/>
      <c r="E121" s="12" t="n"/>
      <c r="F121" s="13" t="n"/>
      <c r="G121" s="12" t="n"/>
      <c r="H121" s="13" t="n"/>
      <c r="I121" s="12">
        <f>IF(G121="","",G121-E121)</f>
        <v/>
      </c>
      <c r="J121" s="10">
        <f>IF(G121="","",IF(ABS(I121)&gt;=Parametros!$B$4,"ATIVA","ESTAVEL"))</f>
        <v/>
      </c>
      <c r="K121" s="11" t="n"/>
      <c r="L121" s="10" t="n"/>
      <c r="M121" s="10" t="n"/>
      <c r="N121" s="10">
        <f>IF(G121="","",IF(M121="Sim","ALTA",IF(AND(OR(K121="Cisalhamento",K121="Recalque diferencial"),J121="ATIVA"),"ALTA",IF(OR(J121="ATIVA",G121&gt;Parametros!$B$5),"MEDIA","BAIXA"))))</f>
        <v/>
      </c>
      <c r="O121" s="11">
        <f>IF(N121="","",IF(N121="ALTA","Escorar/interditar e acionar calculista",IF(N121="MEDIA","Tratar a causa + monitorar","Monitorar e registrar")))</f>
        <v/>
      </c>
      <c r="P121" s="11" t="n"/>
    </row>
    <row r="122">
      <c r="A122" s="14" t="n"/>
      <c r="B122" s="15" t="n"/>
      <c r="C122" s="14" t="n"/>
      <c r="D122" s="14" t="n"/>
      <c r="E122" s="16" t="n"/>
      <c r="F122" s="17" t="n"/>
      <c r="G122" s="16" t="n"/>
      <c r="H122" s="17" t="n"/>
      <c r="I122" s="16">
        <f>IF(G122="","",G122-E122)</f>
        <v/>
      </c>
      <c r="J122" s="14">
        <f>IF(G122="","",IF(ABS(I122)&gt;=Parametros!$B$4,"ATIVA","ESTAVEL"))</f>
        <v/>
      </c>
      <c r="K122" s="15" t="n"/>
      <c r="L122" s="14" t="n"/>
      <c r="M122" s="14" t="n"/>
      <c r="N122" s="14">
        <f>IF(G122="","",IF(M122="Sim","ALTA",IF(AND(OR(K122="Cisalhamento",K122="Recalque diferencial"),J122="ATIVA"),"ALTA",IF(OR(J122="ATIVA",G122&gt;Parametros!$B$5),"MEDIA","BAIXA"))))</f>
        <v/>
      </c>
      <c r="O122" s="15">
        <f>IF(N122="","",IF(N122="ALTA","Escorar/interditar e acionar calculista",IF(N122="MEDIA","Tratar a causa + monitorar","Monitorar e registrar")))</f>
        <v/>
      </c>
      <c r="P122" s="15" t="n"/>
    </row>
    <row r="123">
      <c r="A123" s="10" t="n"/>
      <c r="B123" s="11" t="n"/>
      <c r="C123" s="10" t="n"/>
      <c r="D123" s="10" t="n"/>
      <c r="E123" s="12" t="n"/>
      <c r="F123" s="13" t="n"/>
      <c r="G123" s="12" t="n"/>
      <c r="H123" s="13" t="n"/>
      <c r="I123" s="12">
        <f>IF(G123="","",G123-E123)</f>
        <v/>
      </c>
      <c r="J123" s="10">
        <f>IF(G123="","",IF(ABS(I123)&gt;=Parametros!$B$4,"ATIVA","ESTAVEL"))</f>
        <v/>
      </c>
      <c r="K123" s="11" t="n"/>
      <c r="L123" s="10" t="n"/>
      <c r="M123" s="10" t="n"/>
      <c r="N123" s="10">
        <f>IF(G123="","",IF(M123="Sim","ALTA",IF(AND(OR(K123="Cisalhamento",K123="Recalque diferencial"),J123="ATIVA"),"ALTA",IF(OR(J123="ATIVA",G123&gt;Parametros!$B$5),"MEDIA","BAIXA"))))</f>
        <v/>
      </c>
      <c r="O123" s="11">
        <f>IF(N123="","",IF(N123="ALTA","Escorar/interditar e acionar calculista",IF(N123="MEDIA","Tratar a causa + monitorar","Monitorar e registrar")))</f>
        <v/>
      </c>
      <c r="P123" s="11" t="n"/>
    </row>
    <row r="124">
      <c r="A124" s="14" t="n"/>
      <c r="B124" s="15" t="n"/>
      <c r="C124" s="14" t="n"/>
      <c r="D124" s="14" t="n"/>
      <c r="E124" s="16" t="n"/>
      <c r="F124" s="17" t="n"/>
      <c r="G124" s="16" t="n"/>
      <c r="H124" s="17" t="n"/>
      <c r="I124" s="16">
        <f>IF(G124="","",G124-E124)</f>
        <v/>
      </c>
      <c r="J124" s="14">
        <f>IF(G124="","",IF(ABS(I124)&gt;=Parametros!$B$4,"ATIVA","ESTAVEL"))</f>
        <v/>
      </c>
      <c r="K124" s="15" t="n"/>
      <c r="L124" s="14" t="n"/>
      <c r="M124" s="14" t="n"/>
      <c r="N124" s="14">
        <f>IF(G124="","",IF(M124="Sim","ALTA",IF(AND(OR(K124="Cisalhamento",K124="Recalque diferencial"),J124="ATIVA"),"ALTA",IF(OR(J124="ATIVA",G124&gt;Parametros!$B$5),"MEDIA","BAIXA"))))</f>
        <v/>
      </c>
      <c r="O124" s="15">
        <f>IF(N124="","",IF(N124="ALTA","Escorar/interditar e acionar calculista",IF(N124="MEDIA","Tratar a causa + monitorar","Monitorar e registrar")))</f>
        <v/>
      </c>
      <c r="P124" s="15" t="n"/>
    </row>
    <row r="125">
      <c r="A125" s="10" t="n"/>
      <c r="B125" s="11" t="n"/>
      <c r="C125" s="10" t="n"/>
      <c r="D125" s="10" t="n"/>
      <c r="E125" s="12" t="n"/>
      <c r="F125" s="13" t="n"/>
      <c r="G125" s="12" t="n"/>
      <c r="H125" s="13" t="n"/>
      <c r="I125" s="12">
        <f>IF(G125="","",G125-E125)</f>
        <v/>
      </c>
      <c r="J125" s="10">
        <f>IF(G125="","",IF(ABS(I125)&gt;=Parametros!$B$4,"ATIVA","ESTAVEL"))</f>
        <v/>
      </c>
      <c r="K125" s="11" t="n"/>
      <c r="L125" s="10" t="n"/>
      <c r="M125" s="10" t="n"/>
      <c r="N125" s="10">
        <f>IF(G125="","",IF(M125="Sim","ALTA",IF(AND(OR(K125="Cisalhamento",K125="Recalque diferencial"),J125="ATIVA"),"ALTA",IF(OR(J125="ATIVA",G125&gt;Parametros!$B$5),"MEDIA","BAIXA"))))</f>
        <v/>
      </c>
      <c r="O125" s="11">
        <f>IF(N125="","",IF(N125="ALTA","Escorar/interditar e acionar calculista",IF(N125="MEDIA","Tratar a causa + monitorar","Monitorar e registrar")))</f>
        <v/>
      </c>
      <c r="P125" s="11" t="n"/>
    </row>
    <row r="126">
      <c r="A126" s="14" t="n"/>
      <c r="B126" s="15" t="n"/>
      <c r="C126" s="14" t="n"/>
      <c r="D126" s="14" t="n"/>
      <c r="E126" s="16" t="n"/>
      <c r="F126" s="17" t="n"/>
      <c r="G126" s="16" t="n"/>
      <c r="H126" s="17" t="n"/>
      <c r="I126" s="16">
        <f>IF(G126="","",G126-E126)</f>
        <v/>
      </c>
      <c r="J126" s="14">
        <f>IF(G126="","",IF(ABS(I126)&gt;=Parametros!$B$4,"ATIVA","ESTAVEL"))</f>
        <v/>
      </c>
      <c r="K126" s="15" t="n"/>
      <c r="L126" s="14" t="n"/>
      <c r="M126" s="14" t="n"/>
      <c r="N126" s="14">
        <f>IF(G126="","",IF(M126="Sim","ALTA",IF(AND(OR(K126="Cisalhamento",K126="Recalque diferencial"),J126="ATIVA"),"ALTA",IF(OR(J126="ATIVA",G126&gt;Parametros!$B$5),"MEDIA","BAIXA"))))</f>
        <v/>
      </c>
      <c r="O126" s="15">
        <f>IF(N126="","",IF(N126="ALTA","Escorar/interditar e acionar calculista",IF(N126="MEDIA","Tratar a causa + monitorar","Monitorar e registrar")))</f>
        <v/>
      </c>
      <c r="P126" s="15" t="n"/>
    </row>
    <row r="127">
      <c r="A127" s="10" t="n"/>
      <c r="B127" s="11" t="n"/>
      <c r="C127" s="10" t="n"/>
      <c r="D127" s="10" t="n"/>
      <c r="E127" s="12" t="n"/>
      <c r="F127" s="13" t="n"/>
      <c r="G127" s="12" t="n"/>
      <c r="H127" s="13" t="n"/>
      <c r="I127" s="12">
        <f>IF(G127="","",G127-E127)</f>
        <v/>
      </c>
      <c r="J127" s="10">
        <f>IF(G127="","",IF(ABS(I127)&gt;=Parametros!$B$4,"ATIVA","ESTAVEL"))</f>
        <v/>
      </c>
      <c r="K127" s="11" t="n"/>
      <c r="L127" s="10" t="n"/>
      <c r="M127" s="10" t="n"/>
      <c r="N127" s="10">
        <f>IF(G127="","",IF(M127="Sim","ALTA",IF(AND(OR(K127="Cisalhamento",K127="Recalque diferencial"),J127="ATIVA"),"ALTA",IF(OR(J127="ATIVA",G127&gt;Parametros!$B$5),"MEDIA","BAIXA"))))</f>
        <v/>
      </c>
      <c r="O127" s="11">
        <f>IF(N127="","",IF(N127="ALTA","Escorar/interditar e acionar calculista",IF(N127="MEDIA","Tratar a causa + monitorar","Monitorar e registrar")))</f>
        <v/>
      </c>
      <c r="P127" s="11" t="n"/>
    </row>
    <row r="128">
      <c r="A128" s="14" t="n"/>
      <c r="B128" s="15" t="n"/>
      <c r="C128" s="14" t="n"/>
      <c r="D128" s="14" t="n"/>
      <c r="E128" s="16" t="n"/>
      <c r="F128" s="17" t="n"/>
      <c r="G128" s="16" t="n"/>
      <c r="H128" s="17" t="n"/>
      <c r="I128" s="16">
        <f>IF(G128="","",G128-E128)</f>
        <v/>
      </c>
      <c r="J128" s="14">
        <f>IF(G128="","",IF(ABS(I128)&gt;=Parametros!$B$4,"ATIVA","ESTAVEL"))</f>
        <v/>
      </c>
      <c r="K128" s="15" t="n"/>
      <c r="L128" s="14" t="n"/>
      <c r="M128" s="14" t="n"/>
      <c r="N128" s="14">
        <f>IF(G128="","",IF(M128="Sim","ALTA",IF(AND(OR(K128="Cisalhamento",K128="Recalque diferencial"),J128="ATIVA"),"ALTA",IF(OR(J128="ATIVA",G128&gt;Parametros!$B$5),"MEDIA","BAIXA"))))</f>
        <v/>
      </c>
      <c r="O128" s="15">
        <f>IF(N128="","",IF(N128="ALTA","Escorar/interditar e acionar calculista",IF(N128="MEDIA","Tratar a causa + monitorar","Monitorar e registrar")))</f>
        <v/>
      </c>
      <c r="P128" s="15" t="n"/>
    </row>
    <row r="129">
      <c r="A129" s="10" t="n"/>
      <c r="B129" s="11" t="n"/>
      <c r="C129" s="10" t="n"/>
      <c r="D129" s="10" t="n"/>
      <c r="E129" s="12" t="n"/>
      <c r="F129" s="13" t="n"/>
      <c r="G129" s="12" t="n"/>
      <c r="H129" s="13" t="n"/>
      <c r="I129" s="12">
        <f>IF(G129="","",G129-E129)</f>
        <v/>
      </c>
      <c r="J129" s="10">
        <f>IF(G129="","",IF(ABS(I129)&gt;=Parametros!$B$4,"ATIVA","ESTAVEL"))</f>
        <v/>
      </c>
      <c r="K129" s="11" t="n"/>
      <c r="L129" s="10" t="n"/>
      <c r="M129" s="10" t="n"/>
      <c r="N129" s="10">
        <f>IF(G129="","",IF(M129="Sim","ALTA",IF(AND(OR(K129="Cisalhamento",K129="Recalque diferencial"),J129="ATIVA"),"ALTA",IF(OR(J129="ATIVA",G129&gt;Parametros!$B$5),"MEDIA","BAIXA"))))</f>
        <v/>
      </c>
      <c r="O129" s="11">
        <f>IF(N129="","",IF(N129="ALTA","Escorar/interditar e acionar calculista",IF(N129="MEDIA","Tratar a causa + monitorar","Monitorar e registrar")))</f>
        <v/>
      </c>
      <c r="P129" s="11" t="n"/>
    </row>
    <row r="130">
      <c r="A130" s="14" t="n"/>
      <c r="B130" s="15" t="n"/>
      <c r="C130" s="14" t="n"/>
      <c r="D130" s="14" t="n"/>
      <c r="E130" s="16" t="n"/>
      <c r="F130" s="17" t="n"/>
      <c r="G130" s="16" t="n"/>
      <c r="H130" s="17" t="n"/>
      <c r="I130" s="16">
        <f>IF(G130="","",G130-E130)</f>
        <v/>
      </c>
      <c r="J130" s="14">
        <f>IF(G130="","",IF(ABS(I130)&gt;=Parametros!$B$4,"ATIVA","ESTAVEL"))</f>
        <v/>
      </c>
      <c r="K130" s="15" t="n"/>
      <c r="L130" s="14" t="n"/>
      <c r="M130" s="14" t="n"/>
      <c r="N130" s="14">
        <f>IF(G130="","",IF(M130="Sim","ALTA",IF(AND(OR(K130="Cisalhamento",K130="Recalque diferencial"),J130="ATIVA"),"ALTA",IF(OR(J130="ATIVA",G130&gt;Parametros!$B$5),"MEDIA","BAIXA"))))</f>
        <v/>
      </c>
      <c r="O130" s="15">
        <f>IF(N130="","",IF(N130="ALTA","Escorar/interditar e acionar calculista",IF(N130="MEDIA","Tratar a causa + monitorar","Monitorar e registrar")))</f>
        <v/>
      </c>
      <c r="P130" s="15" t="n"/>
    </row>
    <row r="131">
      <c r="A131" s="10" t="n"/>
      <c r="B131" s="11" t="n"/>
      <c r="C131" s="10" t="n"/>
      <c r="D131" s="10" t="n"/>
      <c r="E131" s="12" t="n"/>
      <c r="F131" s="13" t="n"/>
      <c r="G131" s="12" t="n"/>
      <c r="H131" s="13" t="n"/>
      <c r="I131" s="12">
        <f>IF(G131="","",G131-E131)</f>
        <v/>
      </c>
      <c r="J131" s="10">
        <f>IF(G131="","",IF(ABS(I131)&gt;=Parametros!$B$4,"ATIVA","ESTAVEL"))</f>
        <v/>
      </c>
      <c r="K131" s="11" t="n"/>
      <c r="L131" s="10" t="n"/>
      <c r="M131" s="10" t="n"/>
      <c r="N131" s="10">
        <f>IF(G131="","",IF(M131="Sim","ALTA",IF(AND(OR(K131="Cisalhamento",K131="Recalque diferencial"),J131="ATIVA"),"ALTA",IF(OR(J131="ATIVA",G131&gt;Parametros!$B$5),"MEDIA","BAIXA"))))</f>
        <v/>
      </c>
      <c r="O131" s="11">
        <f>IF(N131="","",IF(N131="ALTA","Escorar/interditar e acionar calculista",IF(N131="MEDIA","Tratar a causa + monitorar","Monitorar e registrar")))</f>
        <v/>
      </c>
      <c r="P131" s="11" t="n"/>
    </row>
    <row r="132">
      <c r="A132" s="14" t="n"/>
      <c r="B132" s="15" t="n"/>
      <c r="C132" s="14" t="n"/>
      <c r="D132" s="14" t="n"/>
      <c r="E132" s="16" t="n"/>
      <c r="F132" s="17" t="n"/>
      <c r="G132" s="16" t="n"/>
      <c r="H132" s="17" t="n"/>
      <c r="I132" s="16">
        <f>IF(G132="","",G132-E132)</f>
        <v/>
      </c>
      <c r="J132" s="14">
        <f>IF(G132="","",IF(ABS(I132)&gt;=Parametros!$B$4,"ATIVA","ESTAVEL"))</f>
        <v/>
      </c>
      <c r="K132" s="15" t="n"/>
      <c r="L132" s="14" t="n"/>
      <c r="M132" s="14" t="n"/>
      <c r="N132" s="14">
        <f>IF(G132="","",IF(M132="Sim","ALTA",IF(AND(OR(K132="Cisalhamento",K132="Recalque diferencial"),J132="ATIVA"),"ALTA",IF(OR(J132="ATIVA",G132&gt;Parametros!$B$5),"MEDIA","BAIXA"))))</f>
        <v/>
      </c>
      <c r="O132" s="15">
        <f>IF(N132="","",IF(N132="ALTA","Escorar/interditar e acionar calculista",IF(N132="MEDIA","Tratar a causa + monitorar","Monitorar e registrar")))</f>
        <v/>
      </c>
      <c r="P132" s="15" t="n"/>
    </row>
    <row r="133">
      <c r="A133" s="10" t="n"/>
      <c r="B133" s="11" t="n"/>
      <c r="C133" s="10" t="n"/>
      <c r="D133" s="10" t="n"/>
      <c r="E133" s="12" t="n"/>
      <c r="F133" s="13" t="n"/>
      <c r="G133" s="12" t="n"/>
      <c r="H133" s="13" t="n"/>
      <c r="I133" s="12">
        <f>IF(G133="","",G133-E133)</f>
        <v/>
      </c>
      <c r="J133" s="10">
        <f>IF(G133="","",IF(ABS(I133)&gt;=Parametros!$B$4,"ATIVA","ESTAVEL"))</f>
        <v/>
      </c>
      <c r="K133" s="11" t="n"/>
      <c r="L133" s="10" t="n"/>
      <c r="M133" s="10" t="n"/>
      <c r="N133" s="10">
        <f>IF(G133="","",IF(M133="Sim","ALTA",IF(AND(OR(K133="Cisalhamento",K133="Recalque diferencial"),J133="ATIVA"),"ALTA",IF(OR(J133="ATIVA",G133&gt;Parametros!$B$5),"MEDIA","BAIXA"))))</f>
        <v/>
      </c>
      <c r="O133" s="11">
        <f>IF(N133="","",IF(N133="ALTA","Escorar/interditar e acionar calculista",IF(N133="MEDIA","Tratar a causa + monitorar","Monitorar e registrar")))</f>
        <v/>
      </c>
      <c r="P133" s="11" t="n"/>
    </row>
    <row r="134">
      <c r="A134" s="14" t="n"/>
      <c r="B134" s="15" t="n"/>
      <c r="C134" s="14" t="n"/>
      <c r="D134" s="14" t="n"/>
      <c r="E134" s="16" t="n"/>
      <c r="F134" s="17" t="n"/>
      <c r="G134" s="16" t="n"/>
      <c r="H134" s="17" t="n"/>
      <c r="I134" s="16">
        <f>IF(G134="","",G134-E134)</f>
        <v/>
      </c>
      <c r="J134" s="14">
        <f>IF(G134="","",IF(ABS(I134)&gt;=Parametros!$B$4,"ATIVA","ESTAVEL"))</f>
        <v/>
      </c>
      <c r="K134" s="15" t="n"/>
      <c r="L134" s="14" t="n"/>
      <c r="M134" s="14" t="n"/>
      <c r="N134" s="14">
        <f>IF(G134="","",IF(M134="Sim","ALTA",IF(AND(OR(K134="Cisalhamento",K134="Recalque diferencial"),J134="ATIVA"),"ALTA",IF(OR(J134="ATIVA",G134&gt;Parametros!$B$5),"MEDIA","BAIXA"))))</f>
        <v/>
      </c>
      <c r="O134" s="15">
        <f>IF(N134="","",IF(N134="ALTA","Escorar/interditar e acionar calculista",IF(N134="MEDIA","Tratar a causa + monitorar","Monitorar e registrar")))</f>
        <v/>
      </c>
      <c r="P134" s="15" t="n"/>
    </row>
    <row r="135">
      <c r="A135" s="10" t="n"/>
      <c r="B135" s="11" t="n"/>
      <c r="C135" s="10" t="n"/>
      <c r="D135" s="10" t="n"/>
      <c r="E135" s="12" t="n"/>
      <c r="F135" s="13" t="n"/>
      <c r="G135" s="12" t="n"/>
      <c r="H135" s="13" t="n"/>
      <c r="I135" s="12">
        <f>IF(G135="","",G135-E135)</f>
        <v/>
      </c>
      <c r="J135" s="10">
        <f>IF(G135="","",IF(ABS(I135)&gt;=Parametros!$B$4,"ATIVA","ESTAVEL"))</f>
        <v/>
      </c>
      <c r="K135" s="11" t="n"/>
      <c r="L135" s="10" t="n"/>
      <c r="M135" s="10" t="n"/>
      <c r="N135" s="10">
        <f>IF(G135="","",IF(M135="Sim","ALTA",IF(AND(OR(K135="Cisalhamento",K135="Recalque diferencial"),J135="ATIVA"),"ALTA",IF(OR(J135="ATIVA",G135&gt;Parametros!$B$5),"MEDIA","BAIXA"))))</f>
        <v/>
      </c>
      <c r="O135" s="11">
        <f>IF(N135="","",IF(N135="ALTA","Escorar/interditar e acionar calculista",IF(N135="MEDIA","Tratar a causa + monitorar","Monitorar e registrar")))</f>
        <v/>
      </c>
      <c r="P135" s="11" t="n"/>
    </row>
    <row r="136">
      <c r="A136" s="14" t="n"/>
      <c r="B136" s="15" t="n"/>
      <c r="C136" s="14" t="n"/>
      <c r="D136" s="14" t="n"/>
      <c r="E136" s="16" t="n"/>
      <c r="F136" s="17" t="n"/>
      <c r="G136" s="16" t="n"/>
      <c r="H136" s="17" t="n"/>
      <c r="I136" s="16">
        <f>IF(G136="","",G136-E136)</f>
        <v/>
      </c>
      <c r="J136" s="14">
        <f>IF(G136="","",IF(ABS(I136)&gt;=Parametros!$B$4,"ATIVA","ESTAVEL"))</f>
        <v/>
      </c>
      <c r="K136" s="15" t="n"/>
      <c r="L136" s="14" t="n"/>
      <c r="M136" s="14" t="n"/>
      <c r="N136" s="14">
        <f>IF(G136="","",IF(M136="Sim","ALTA",IF(AND(OR(K136="Cisalhamento",K136="Recalque diferencial"),J136="ATIVA"),"ALTA",IF(OR(J136="ATIVA",G136&gt;Parametros!$B$5),"MEDIA","BAIXA"))))</f>
        <v/>
      </c>
      <c r="O136" s="15">
        <f>IF(N136="","",IF(N136="ALTA","Escorar/interditar e acionar calculista",IF(N136="MEDIA","Tratar a causa + monitorar","Monitorar e registrar")))</f>
        <v/>
      </c>
      <c r="P136" s="15" t="n"/>
    </row>
    <row r="137">
      <c r="A137" s="10" t="n"/>
      <c r="B137" s="11" t="n"/>
      <c r="C137" s="10" t="n"/>
      <c r="D137" s="10" t="n"/>
      <c r="E137" s="12" t="n"/>
      <c r="F137" s="13" t="n"/>
      <c r="G137" s="12" t="n"/>
      <c r="H137" s="13" t="n"/>
      <c r="I137" s="12">
        <f>IF(G137="","",G137-E137)</f>
        <v/>
      </c>
      <c r="J137" s="10">
        <f>IF(G137="","",IF(ABS(I137)&gt;=Parametros!$B$4,"ATIVA","ESTAVEL"))</f>
        <v/>
      </c>
      <c r="K137" s="11" t="n"/>
      <c r="L137" s="10" t="n"/>
      <c r="M137" s="10" t="n"/>
      <c r="N137" s="10">
        <f>IF(G137="","",IF(M137="Sim","ALTA",IF(AND(OR(K137="Cisalhamento",K137="Recalque diferencial"),J137="ATIVA"),"ALTA",IF(OR(J137="ATIVA",G137&gt;Parametros!$B$5),"MEDIA","BAIXA"))))</f>
        <v/>
      </c>
      <c r="O137" s="11">
        <f>IF(N137="","",IF(N137="ALTA","Escorar/interditar e acionar calculista",IF(N137="MEDIA","Tratar a causa + monitorar","Monitorar e registrar")))</f>
        <v/>
      </c>
      <c r="P137" s="11" t="n"/>
    </row>
    <row r="138">
      <c r="A138" s="14" t="n"/>
      <c r="B138" s="15" t="n"/>
      <c r="C138" s="14" t="n"/>
      <c r="D138" s="14" t="n"/>
      <c r="E138" s="16" t="n"/>
      <c r="F138" s="17" t="n"/>
      <c r="G138" s="16" t="n"/>
      <c r="H138" s="17" t="n"/>
      <c r="I138" s="16">
        <f>IF(G138="","",G138-E138)</f>
        <v/>
      </c>
      <c r="J138" s="14">
        <f>IF(G138="","",IF(ABS(I138)&gt;=Parametros!$B$4,"ATIVA","ESTAVEL"))</f>
        <v/>
      </c>
      <c r="K138" s="15" t="n"/>
      <c r="L138" s="14" t="n"/>
      <c r="M138" s="14" t="n"/>
      <c r="N138" s="14">
        <f>IF(G138="","",IF(M138="Sim","ALTA",IF(AND(OR(K138="Cisalhamento",K138="Recalque diferencial"),J138="ATIVA"),"ALTA",IF(OR(J138="ATIVA",G138&gt;Parametros!$B$5),"MEDIA","BAIXA"))))</f>
        <v/>
      </c>
      <c r="O138" s="15">
        <f>IF(N138="","",IF(N138="ALTA","Escorar/interditar e acionar calculista",IF(N138="MEDIA","Tratar a causa + monitorar","Monitorar e registrar")))</f>
        <v/>
      </c>
      <c r="P138" s="15" t="n"/>
    </row>
    <row r="139">
      <c r="A139" s="10" t="n"/>
      <c r="B139" s="11" t="n"/>
      <c r="C139" s="10" t="n"/>
      <c r="D139" s="10" t="n"/>
      <c r="E139" s="12" t="n"/>
      <c r="F139" s="13" t="n"/>
      <c r="G139" s="12" t="n"/>
      <c r="H139" s="13" t="n"/>
      <c r="I139" s="12">
        <f>IF(G139="","",G139-E139)</f>
        <v/>
      </c>
      <c r="J139" s="10">
        <f>IF(G139="","",IF(ABS(I139)&gt;=Parametros!$B$4,"ATIVA","ESTAVEL"))</f>
        <v/>
      </c>
      <c r="K139" s="11" t="n"/>
      <c r="L139" s="10" t="n"/>
      <c r="M139" s="10" t="n"/>
      <c r="N139" s="10">
        <f>IF(G139="","",IF(M139="Sim","ALTA",IF(AND(OR(K139="Cisalhamento",K139="Recalque diferencial"),J139="ATIVA"),"ALTA",IF(OR(J139="ATIVA",G139&gt;Parametros!$B$5),"MEDIA","BAIXA"))))</f>
        <v/>
      </c>
      <c r="O139" s="11">
        <f>IF(N139="","",IF(N139="ALTA","Escorar/interditar e acionar calculista",IF(N139="MEDIA","Tratar a causa + monitorar","Monitorar e registrar")))</f>
        <v/>
      </c>
      <c r="P139" s="11" t="n"/>
    </row>
    <row r="140">
      <c r="A140" s="14" t="n"/>
      <c r="B140" s="15" t="n"/>
      <c r="C140" s="14" t="n"/>
      <c r="D140" s="14" t="n"/>
      <c r="E140" s="16" t="n"/>
      <c r="F140" s="17" t="n"/>
      <c r="G140" s="16" t="n"/>
      <c r="H140" s="17" t="n"/>
      <c r="I140" s="16">
        <f>IF(G140="","",G140-E140)</f>
        <v/>
      </c>
      <c r="J140" s="14">
        <f>IF(G140="","",IF(ABS(I140)&gt;=Parametros!$B$4,"ATIVA","ESTAVEL"))</f>
        <v/>
      </c>
      <c r="K140" s="15" t="n"/>
      <c r="L140" s="14" t="n"/>
      <c r="M140" s="14" t="n"/>
      <c r="N140" s="14">
        <f>IF(G140="","",IF(M140="Sim","ALTA",IF(AND(OR(K140="Cisalhamento",K140="Recalque diferencial"),J140="ATIVA"),"ALTA",IF(OR(J140="ATIVA",G140&gt;Parametros!$B$5),"MEDIA","BAIXA"))))</f>
        <v/>
      </c>
      <c r="O140" s="15">
        <f>IF(N140="","",IF(N140="ALTA","Escorar/interditar e acionar calculista",IF(N140="MEDIA","Tratar a causa + monitorar","Monitorar e registrar")))</f>
        <v/>
      </c>
      <c r="P140" s="15" t="n"/>
    </row>
    <row r="141">
      <c r="A141" s="10" t="n"/>
      <c r="B141" s="11" t="n"/>
      <c r="C141" s="10" t="n"/>
      <c r="D141" s="10" t="n"/>
      <c r="E141" s="12" t="n"/>
      <c r="F141" s="13" t="n"/>
      <c r="G141" s="12" t="n"/>
      <c r="H141" s="13" t="n"/>
      <c r="I141" s="12">
        <f>IF(G141="","",G141-E141)</f>
        <v/>
      </c>
      <c r="J141" s="10">
        <f>IF(G141="","",IF(ABS(I141)&gt;=Parametros!$B$4,"ATIVA","ESTAVEL"))</f>
        <v/>
      </c>
      <c r="K141" s="11" t="n"/>
      <c r="L141" s="10" t="n"/>
      <c r="M141" s="10" t="n"/>
      <c r="N141" s="10">
        <f>IF(G141="","",IF(M141="Sim","ALTA",IF(AND(OR(K141="Cisalhamento",K141="Recalque diferencial"),J141="ATIVA"),"ALTA",IF(OR(J141="ATIVA",G141&gt;Parametros!$B$5),"MEDIA","BAIXA"))))</f>
        <v/>
      </c>
      <c r="O141" s="11">
        <f>IF(N141="","",IF(N141="ALTA","Escorar/interditar e acionar calculista",IF(N141="MEDIA","Tratar a causa + monitorar","Monitorar e registrar")))</f>
        <v/>
      </c>
      <c r="P141" s="11" t="n"/>
    </row>
    <row r="142">
      <c r="A142" s="14" t="n"/>
      <c r="B142" s="15" t="n"/>
      <c r="C142" s="14" t="n"/>
      <c r="D142" s="14" t="n"/>
      <c r="E142" s="16" t="n"/>
      <c r="F142" s="17" t="n"/>
      <c r="G142" s="16" t="n"/>
      <c r="H142" s="17" t="n"/>
      <c r="I142" s="16">
        <f>IF(G142="","",G142-E142)</f>
        <v/>
      </c>
      <c r="J142" s="14">
        <f>IF(G142="","",IF(ABS(I142)&gt;=Parametros!$B$4,"ATIVA","ESTAVEL"))</f>
        <v/>
      </c>
      <c r="K142" s="15" t="n"/>
      <c r="L142" s="14" t="n"/>
      <c r="M142" s="14" t="n"/>
      <c r="N142" s="14">
        <f>IF(G142="","",IF(M142="Sim","ALTA",IF(AND(OR(K142="Cisalhamento",K142="Recalque diferencial"),J142="ATIVA"),"ALTA",IF(OR(J142="ATIVA",G142&gt;Parametros!$B$5),"MEDIA","BAIXA"))))</f>
        <v/>
      </c>
      <c r="O142" s="15">
        <f>IF(N142="","",IF(N142="ALTA","Escorar/interditar e acionar calculista",IF(N142="MEDIA","Tratar a causa + monitorar","Monitorar e registrar")))</f>
        <v/>
      </c>
      <c r="P142" s="15" t="n"/>
    </row>
    <row r="143">
      <c r="A143" s="10" t="n"/>
      <c r="B143" s="11" t="n"/>
      <c r="C143" s="10" t="n"/>
      <c r="D143" s="10" t="n"/>
      <c r="E143" s="12" t="n"/>
      <c r="F143" s="13" t="n"/>
      <c r="G143" s="12" t="n"/>
      <c r="H143" s="13" t="n"/>
      <c r="I143" s="12">
        <f>IF(G143="","",G143-E143)</f>
        <v/>
      </c>
      <c r="J143" s="10">
        <f>IF(G143="","",IF(ABS(I143)&gt;=Parametros!$B$4,"ATIVA","ESTAVEL"))</f>
        <v/>
      </c>
      <c r="K143" s="11" t="n"/>
      <c r="L143" s="10" t="n"/>
      <c r="M143" s="10" t="n"/>
      <c r="N143" s="10">
        <f>IF(G143="","",IF(M143="Sim","ALTA",IF(AND(OR(K143="Cisalhamento",K143="Recalque diferencial"),J143="ATIVA"),"ALTA",IF(OR(J143="ATIVA",G143&gt;Parametros!$B$5),"MEDIA","BAIXA"))))</f>
        <v/>
      </c>
      <c r="O143" s="11">
        <f>IF(N143="","",IF(N143="ALTA","Escorar/interditar e acionar calculista",IF(N143="MEDIA","Tratar a causa + monitorar","Monitorar e registrar")))</f>
        <v/>
      </c>
      <c r="P143" s="11" t="n"/>
    </row>
    <row r="144">
      <c r="A144" s="14" t="n"/>
      <c r="B144" s="15" t="n"/>
      <c r="C144" s="14" t="n"/>
      <c r="D144" s="14" t="n"/>
      <c r="E144" s="16" t="n"/>
      <c r="F144" s="17" t="n"/>
      <c r="G144" s="16" t="n"/>
      <c r="H144" s="17" t="n"/>
      <c r="I144" s="16">
        <f>IF(G144="","",G144-E144)</f>
        <v/>
      </c>
      <c r="J144" s="14">
        <f>IF(G144="","",IF(ABS(I144)&gt;=Parametros!$B$4,"ATIVA","ESTAVEL"))</f>
        <v/>
      </c>
      <c r="K144" s="15" t="n"/>
      <c r="L144" s="14" t="n"/>
      <c r="M144" s="14" t="n"/>
      <c r="N144" s="14">
        <f>IF(G144="","",IF(M144="Sim","ALTA",IF(AND(OR(K144="Cisalhamento",K144="Recalque diferencial"),J144="ATIVA"),"ALTA",IF(OR(J144="ATIVA",G144&gt;Parametros!$B$5),"MEDIA","BAIXA"))))</f>
        <v/>
      </c>
      <c r="O144" s="15">
        <f>IF(N144="","",IF(N144="ALTA","Escorar/interditar e acionar calculista",IF(N144="MEDIA","Tratar a causa + monitorar","Monitorar e registrar")))</f>
        <v/>
      </c>
      <c r="P144" s="15" t="n"/>
    </row>
    <row r="145">
      <c r="A145" s="10" t="n"/>
      <c r="B145" s="11" t="n"/>
      <c r="C145" s="10" t="n"/>
      <c r="D145" s="10" t="n"/>
      <c r="E145" s="12" t="n"/>
      <c r="F145" s="13" t="n"/>
      <c r="G145" s="12" t="n"/>
      <c r="H145" s="13" t="n"/>
      <c r="I145" s="12">
        <f>IF(G145="","",G145-E145)</f>
        <v/>
      </c>
      <c r="J145" s="10">
        <f>IF(G145="","",IF(ABS(I145)&gt;=Parametros!$B$4,"ATIVA","ESTAVEL"))</f>
        <v/>
      </c>
      <c r="K145" s="11" t="n"/>
      <c r="L145" s="10" t="n"/>
      <c r="M145" s="10" t="n"/>
      <c r="N145" s="10">
        <f>IF(G145="","",IF(M145="Sim","ALTA",IF(AND(OR(K145="Cisalhamento",K145="Recalque diferencial"),J145="ATIVA"),"ALTA",IF(OR(J145="ATIVA",G145&gt;Parametros!$B$5),"MEDIA","BAIXA"))))</f>
        <v/>
      </c>
      <c r="O145" s="11">
        <f>IF(N145="","",IF(N145="ALTA","Escorar/interditar e acionar calculista",IF(N145="MEDIA","Tratar a causa + monitorar","Monitorar e registrar")))</f>
        <v/>
      </c>
      <c r="P145" s="11" t="n"/>
    </row>
    <row r="146">
      <c r="A146" s="14" t="n"/>
      <c r="B146" s="15" t="n"/>
      <c r="C146" s="14" t="n"/>
      <c r="D146" s="14" t="n"/>
      <c r="E146" s="16" t="n"/>
      <c r="F146" s="17" t="n"/>
      <c r="G146" s="16" t="n"/>
      <c r="H146" s="17" t="n"/>
      <c r="I146" s="16">
        <f>IF(G146="","",G146-E146)</f>
        <v/>
      </c>
      <c r="J146" s="14">
        <f>IF(G146="","",IF(ABS(I146)&gt;=Parametros!$B$4,"ATIVA","ESTAVEL"))</f>
        <v/>
      </c>
      <c r="K146" s="15" t="n"/>
      <c r="L146" s="14" t="n"/>
      <c r="M146" s="14" t="n"/>
      <c r="N146" s="14">
        <f>IF(G146="","",IF(M146="Sim","ALTA",IF(AND(OR(K146="Cisalhamento",K146="Recalque diferencial"),J146="ATIVA"),"ALTA",IF(OR(J146="ATIVA",G146&gt;Parametros!$B$5),"MEDIA","BAIXA"))))</f>
        <v/>
      </c>
      <c r="O146" s="15">
        <f>IF(N146="","",IF(N146="ALTA","Escorar/interditar e acionar calculista",IF(N146="MEDIA","Tratar a causa + monitorar","Monitorar e registrar")))</f>
        <v/>
      </c>
      <c r="P146" s="15" t="n"/>
    </row>
    <row r="147">
      <c r="A147" s="10" t="n"/>
      <c r="B147" s="11" t="n"/>
      <c r="C147" s="10" t="n"/>
      <c r="D147" s="10" t="n"/>
      <c r="E147" s="12" t="n"/>
      <c r="F147" s="13" t="n"/>
      <c r="G147" s="12" t="n"/>
      <c r="H147" s="13" t="n"/>
      <c r="I147" s="12">
        <f>IF(G147="","",G147-E147)</f>
        <v/>
      </c>
      <c r="J147" s="10">
        <f>IF(G147="","",IF(ABS(I147)&gt;=Parametros!$B$4,"ATIVA","ESTAVEL"))</f>
        <v/>
      </c>
      <c r="K147" s="11" t="n"/>
      <c r="L147" s="10" t="n"/>
      <c r="M147" s="10" t="n"/>
      <c r="N147" s="10">
        <f>IF(G147="","",IF(M147="Sim","ALTA",IF(AND(OR(K147="Cisalhamento",K147="Recalque diferencial"),J147="ATIVA"),"ALTA",IF(OR(J147="ATIVA",G147&gt;Parametros!$B$5),"MEDIA","BAIXA"))))</f>
        <v/>
      </c>
      <c r="O147" s="11">
        <f>IF(N147="","",IF(N147="ALTA","Escorar/interditar e acionar calculista",IF(N147="MEDIA","Tratar a causa + monitorar","Monitorar e registrar")))</f>
        <v/>
      </c>
      <c r="P147" s="11" t="n"/>
    </row>
    <row r="148">
      <c r="A148" s="14" t="n"/>
      <c r="B148" s="15" t="n"/>
      <c r="C148" s="14" t="n"/>
      <c r="D148" s="14" t="n"/>
      <c r="E148" s="16" t="n"/>
      <c r="F148" s="17" t="n"/>
      <c r="G148" s="16" t="n"/>
      <c r="H148" s="17" t="n"/>
      <c r="I148" s="16">
        <f>IF(G148="","",G148-E148)</f>
        <v/>
      </c>
      <c r="J148" s="14">
        <f>IF(G148="","",IF(ABS(I148)&gt;=Parametros!$B$4,"ATIVA","ESTAVEL"))</f>
        <v/>
      </c>
      <c r="K148" s="15" t="n"/>
      <c r="L148" s="14" t="n"/>
      <c r="M148" s="14" t="n"/>
      <c r="N148" s="14">
        <f>IF(G148="","",IF(M148="Sim","ALTA",IF(AND(OR(K148="Cisalhamento",K148="Recalque diferencial"),J148="ATIVA"),"ALTA",IF(OR(J148="ATIVA",G148&gt;Parametros!$B$5),"MEDIA","BAIXA"))))</f>
        <v/>
      </c>
      <c r="O148" s="15">
        <f>IF(N148="","",IF(N148="ALTA","Escorar/interditar e acionar calculista",IF(N148="MEDIA","Tratar a causa + monitorar","Monitorar e registrar")))</f>
        <v/>
      </c>
      <c r="P148" s="15" t="n"/>
    </row>
    <row r="149">
      <c r="A149" s="10" t="n"/>
      <c r="B149" s="11" t="n"/>
      <c r="C149" s="10" t="n"/>
      <c r="D149" s="10" t="n"/>
      <c r="E149" s="12" t="n"/>
      <c r="F149" s="13" t="n"/>
      <c r="G149" s="12" t="n"/>
      <c r="H149" s="13" t="n"/>
      <c r="I149" s="12">
        <f>IF(G149="","",G149-E149)</f>
        <v/>
      </c>
      <c r="J149" s="10">
        <f>IF(G149="","",IF(ABS(I149)&gt;=Parametros!$B$4,"ATIVA","ESTAVEL"))</f>
        <v/>
      </c>
      <c r="K149" s="11" t="n"/>
      <c r="L149" s="10" t="n"/>
      <c r="M149" s="10" t="n"/>
      <c r="N149" s="10">
        <f>IF(G149="","",IF(M149="Sim","ALTA",IF(AND(OR(K149="Cisalhamento",K149="Recalque diferencial"),J149="ATIVA"),"ALTA",IF(OR(J149="ATIVA",G149&gt;Parametros!$B$5),"MEDIA","BAIXA"))))</f>
        <v/>
      </c>
      <c r="O149" s="11">
        <f>IF(N149="","",IF(N149="ALTA","Escorar/interditar e acionar calculista",IF(N149="MEDIA","Tratar a causa + monitorar","Monitorar e registrar")))</f>
        <v/>
      </c>
      <c r="P149" s="11" t="n"/>
    </row>
    <row r="150">
      <c r="A150" s="14" t="n"/>
      <c r="B150" s="15" t="n"/>
      <c r="C150" s="14" t="n"/>
      <c r="D150" s="14" t="n"/>
      <c r="E150" s="16" t="n"/>
      <c r="F150" s="17" t="n"/>
      <c r="G150" s="16" t="n"/>
      <c r="H150" s="17" t="n"/>
      <c r="I150" s="16">
        <f>IF(G150="","",G150-E150)</f>
        <v/>
      </c>
      <c r="J150" s="14">
        <f>IF(G150="","",IF(ABS(I150)&gt;=Parametros!$B$4,"ATIVA","ESTAVEL"))</f>
        <v/>
      </c>
      <c r="K150" s="15" t="n"/>
      <c r="L150" s="14" t="n"/>
      <c r="M150" s="14" t="n"/>
      <c r="N150" s="14">
        <f>IF(G150="","",IF(M150="Sim","ALTA",IF(AND(OR(K150="Cisalhamento",K150="Recalque diferencial"),J150="ATIVA"),"ALTA",IF(OR(J150="ATIVA",G150&gt;Parametros!$B$5),"MEDIA","BAIXA"))))</f>
        <v/>
      </c>
      <c r="O150" s="15">
        <f>IF(N150="","",IF(N150="ALTA","Escorar/interditar e acionar calculista",IF(N150="MEDIA","Tratar a causa + monitorar","Monitorar e registrar")))</f>
        <v/>
      </c>
      <c r="P150" s="15" t="n"/>
    </row>
    <row r="151">
      <c r="A151" s="10" t="n"/>
      <c r="B151" s="11" t="n"/>
      <c r="C151" s="10" t="n"/>
      <c r="D151" s="10" t="n"/>
      <c r="E151" s="12" t="n"/>
      <c r="F151" s="13" t="n"/>
      <c r="G151" s="12" t="n"/>
      <c r="H151" s="13" t="n"/>
      <c r="I151" s="12">
        <f>IF(G151="","",G151-E151)</f>
        <v/>
      </c>
      <c r="J151" s="10">
        <f>IF(G151="","",IF(ABS(I151)&gt;=Parametros!$B$4,"ATIVA","ESTAVEL"))</f>
        <v/>
      </c>
      <c r="K151" s="11" t="n"/>
      <c r="L151" s="10" t="n"/>
      <c r="M151" s="10" t="n"/>
      <c r="N151" s="10">
        <f>IF(G151="","",IF(M151="Sim","ALTA",IF(AND(OR(K151="Cisalhamento",K151="Recalque diferencial"),J151="ATIVA"),"ALTA",IF(OR(J151="ATIVA",G151&gt;Parametros!$B$5),"MEDIA","BAIXA"))))</f>
        <v/>
      </c>
      <c r="O151" s="11">
        <f>IF(N151="","",IF(N151="ALTA","Escorar/interditar e acionar calculista",IF(N151="MEDIA","Tratar a causa + monitorar","Monitorar e registrar")))</f>
        <v/>
      </c>
      <c r="P151" s="11" t="n"/>
    </row>
    <row r="152">
      <c r="A152" s="14" t="n"/>
      <c r="B152" s="15" t="n"/>
      <c r="C152" s="14" t="n"/>
      <c r="D152" s="14" t="n"/>
      <c r="E152" s="16" t="n"/>
      <c r="F152" s="17" t="n"/>
      <c r="G152" s="16" t="n"/>
      <c r="H152" s="17" t="n"/>
      <c r="I152" s="16">
        <f>IF(G152="","",G152-E152)</f>
        <v/>
      </c>
      <c r="J152" s="14">
        <f>IF(G152="","",IF(ABS(I152)&gt;=Parametros!$B$4,"ATIVA","ESTAVEL"))</f>
        <v/>
      </c>
      <c r="K152" s="15" t="n"/>
      <c r="L152" s="14" t="n"/>
      <c r="M152" s="14" t="n"/>
      <c r="N152" s="14">
        <f>IF(G152="","",IF(M152="Sim","ALTA",IF(AND(OR(K152="Cisalhamento",K152="Recalque diferencial"),J152="ATIVA"),"ALTA",IF(OR(J152="ATIVA",G152&gt;Parametros!$B$5),"MEDIA","BAIXA"))))</f>
        <v/>
      </c>
      <c r="O152" s="15">
        <f>IF(N152="","",IF(N152="ALTA","Escorar/interditar e acionar calculista",IF(N152="MEDIA","Tratar a causa + monitorar","Monitorar e registrar")))</f>
        <v/>
      </c>
      <c r="P152" s="15" t="n"/>
    </row>
    <row r="153">
      <c r="A153" s="10" t="n"/>
      <c r="B153" s="11" t="n"/>
      <c r="C153" s="10" t="n"/>
      <c r="D153" s="10" t="n"/>
      <c r="E153" s="12" t="n"/>
      <c r="F153" s="13" t="n"/>
      <c r="G153" s="12" t="n"/>
      <c r="H153" s="13" t="n"/>
      <c r="I153" s="12">
        <f>IF(G153="","",G153-E153)</f>
        <v/>
      </c>
      <c r="J153" s="10">
        <f>IF(G153="","",IF(ABS(I153)&gt;=Parametros!$B$4,"ATIVA","ESTAVEL"))</f>
        <v/>
      </c>
      <c r="K153" s="11" t="n"/>
      <c r="L153" s="10" t="n"/>
      <c r="M153" s="10" t="n"/>
      <c r="N153" s="10">
        <f>IF(G153="","",IF(M153="Sim","ALTA",IF(AND(OR(K153="Cisalhamento",K153="Recalque diferencial"),J153="ATIVA"),"ALTA",IF(OR(J153="ATIVA",G153&gt;Parametros!$B$5),"MEDIA","BAIXA"))))</f>
        <v/>
      </c>
      <c r="O153" s="11">
        <f>IF(N153="","",IF(N153="ALTA","Escorar/interditar e acionar calculista",IF(N153="MEDIA","Tratar a causa + monitorar","Monitorar e registrar")))</f>
        <v/>
      </c>
      <c r="P153" s="11" t="n"/>
    </row>
    <row r="154">
      <c r="A154" s="14" t="n"/>
      <c r="B154" s="15" t="n"/>
      <c r="C154" s="14" t="n"/>
      <c r="D154" s="14" t="n"/>
      <c r="E154" s="16" t="n"/>
      <c r="F154" s="17" t="n"/>
      <c r="G154" s="16" t="n"/>
      <c r="H154" s="17" t="n"/>
      <c r="I154" s="16">
        <f>IF(G154="","",G154-E154)</f>
        <v/>
      </c>
      <c r="J154" s="14">
        <f>IF(G154="","",IF(ABS(I154)&gt;=Parametros!$B$4,"ATIVA","ESTAVEL"))</f>
        <v/>
      </c>
      <c r="K154" s="15" t="n"/>
      <c r="L154" s="14" t="n"/>
      <c r="M154" s="14" t="n"/>
      <c r="N154" s="14">
        <f>IF(G154="","",IF(M154="Sim","ALTA",IF(AND(OR(K154="Cisalhamento",K154="Recalque diferencial"),J154="ATIVA"),"ALTA",IF(OR(J154="ATIVA",G154&gt;Parametros!$B$5),"MEDIA","BAIXA"))))</f>
        <v/>
      </c>
      <c r="O154" s="15">
        <f>IF(N154="","",IF(N154="ALTA","Escorar/interditar e acionar calculista",IF(N154="MEDIA","Tratar a causa + monitorar","Monitorar e registrar")))</f>
        <v/>
      </c>
      <c r="P154" s="15" t="n"/>
    </row>
    <row r="155">
      <c r="A155" s="10" t="n"/>
      <c r="B155" s="11" t="n"/>
      <c r="C155" s="10" t="n"/>
      <c r="D155" s="10" t="n"/>
      <c r="E155" s="12" t="n"/>
      <c r="F155" s="13" t="n"/>
      <c r="G155" s="12" t="n"/>
      <c r="H155" s="13" t="n"/>
      <c r="I155" s="12">
        <f>IF(G155="","",G155-E155)</f>
        <v/>
      </c>
      <c r="J155" s="10">
        <f>IF(G155="","",IF(ABS(I155)&gt;=Parametros!$B$4,"ATIVA","ESTAVEL"))</f>
        <v/>
      </c>
      <c r="K155" s="11" t="n"/>
      <c r="L155" s="10" t="n"/>
      <c r="M155" s="10" t="n"/>
      <c r="N155" s="10">
        <f>IF(G155="","",IF(M155="Sim","ALTA",IF(AND(OR(K155="Cisalhamento",K155="Recalque diferencial"),J155="ATIVA"),"ALTA",IF(OR(J155="ATIVA",G155&gt;Parametros!$B$5),"MEDIA","BAIXA"))))</f>
        <v/>
      </c>
      <c r="O155" s="11">
        <f>IF(N155="","",IF(N155="ALTA","Escorar/interditar e acionar calculista",IF(N155="MEDIA","Tratar a causa + monitorar","Monitorar e registrar")))</f>
        <v/>
      </c>
      <c r="P155" s="11" t="n"/>
    </row>
    <row r="156">
      <c r="A156" s="14" t="n"/>
      <c r="B156" s="15" t="n"/>
      <c r="C156" s="14" t="n"/>
      <c r="D156" s="14" t="n"/>
      <c r="E156" s="16" t="n"/>
      <c r="F156" s="17" t="n"/>
      <c r="G156" s="16" t="n"/>
      <c r="H156" s="17" t="n"/>
      <c r="I156" s="16">
        <f>IF(G156="","",G156-E156)</f>
        <v/>
      </c>
      <c r="J156" s="14">
        <f>IF(G156="","",IF(ABS(I156)&gt;=Parametros!$B$4,"ATIVA","ESTAVEL"))</f>
        <v/>
      </c>
      <c r="K156" s="15" t="n"/>
      <c r="L156" s="14" t="n"/>
      <c r="M156" s="14" t="n"/>
      <c r="N156" s="14">
        <f>IF(G156="","",IF(M156="Sim","ALTA",IF(AND(OR(K156="Cisalhamento",K156="Recalque diferencial"),J156="ATIVA"),"ALTA",IF(OR(J156="ATIVA",G156&gt;Parametros!$B$5),"MEDIA","BAIXA"))))</f>
        <v/>
      </c>
      <c r="O156" s="15">
        <f>IF(N156="","",IF(N156="ALTA","Escorar/interditar e acionar calculista",IF(N156="MEDIA","Tratar a causa + monitorar","Monitorar e registrar")))</f>
        <v/>
      </c>
      <c r="P156" s="15" t="n"/>
    </row>
    <row r="157">
      <c r="A157" s="10" t="n"/>
      <c r="B157" s="11" t="n"/>
      <c r="C157" s="10" t="n"/>
      <c r="D157" s="10" t="n"/>
      <c r="E157" s="12" t="n"/>
      <c r="F157" s="13" t="n"/>
      <c r="G157" s="12" t="n"/>
      <c r="H157" s="13" t="n"/>
      <c r="I157" s="12">
        <f>IF(G157="","",G157-E157)</f>
        <v/>
      </c>
      <c r="J157" s="10">
        <f>IF(G157="","",IF(ABS(I157)&gt;=Parametros!$B$4,"ATIVA","ESTAVEL"))</f>
        <v/>
      </c>
      <c r="K157" s="11" t="n"/>
      <c r="L157" s="10" t="n"/>
      <c r="M157" s="10" t="n"/>
      <c r="N157" s="10">
        <f>IF(G157="","",IF(M157="Sim","ALTA",IF(AND(OR(K157="Cisalhamento",K157="Recalque diferencial"),J157="ATIVA"),"ALTA",IF(OR(J157="ATIVA",G157&gt;Parametros!$B$5),"MEDIA","BAIXA"))))</f>
        <v/>
      </c>
      <c r="O157" s="11">
        <f>IF(N157="","",IF(N157="ALTA","Escorar/interditar e acionar calculista",IF(N157="MEDIA","Tratar a causa + monitorar","Monitorar e registrar")))</f>
        <v/>
      </c>
      <c r="P157" s="11" t="n"/>
    </row>
    <row r="158">
      <c r="A158" s="14" t="n"/>
      <c r="B158" s="15" t="n"/>
      <c r="C158" s="14" t="n"/>
      <c r="D158" s="14" t="n"/>
      <c r="E158" s="16" t="n"/>
      <c r="F158" s="17" t="n"/>
      <c r="G158" s="16" t="n"/>
      <c r="H158" s="17" t="n"/>
      <c r="I158" s="16">
        <f>IF(G158="","",G158-E158)</f>
        <v/>
      </c>
      <c r="J158" s="14">
        <f>IF(G158="","",IF(ABS(I158)&gt;=Parametros!$B$4,"ATIVA","ESTAVEL"))</f>
        <v/>
      </c>
      <c r="K158" s="15" t="n"/>
      <c r="L158" s="14" t="n"/>
      <c r="M158" s="14" t="n"/>
      <c r="N158" s="14">
        <f>IF(G158="","",IF(M158="Sim","ALTA",IF(AND(OR(K158="Cisalhamento",K158="Recalque diferencial"),J158="ATIVA"),"ALTA",IF(OR(J158="ATIVA",G158&gt;Parametros!$B$5),"MEDIA","BAIXA"))))</f>
        <v/>
      </c>
      <c r="O158" s="15">
        <f>IF(N158="","",IF(N158="ALTA","Escorar/interditar e acionar calculista",IF(N158="MEDIA","Tratar a causa + monitorar","Monitorar e registrar")))</f>
        <v/>
      </c>
      <c r="P158" s="15" t="n"/>
    </row>
    <row r="159">
      <c r="A159" s="10" t="n"/>
      <c r="B159" s="11" t="n"/>
      <c r="C159" s="10" t="n"/>
      <c r="D159" s="10" t="n"/>
      <c r="E159" s="12" t="n"/>
      <c r="F159" s="13" t="n"/>
      <c r="G159" s="12" t="n"/>
      <c r="H159" s="13" t="n"/>
      <c r="I159" s="12">
        <f>IF(G159="","",G159-E159)</f>
        <v/>
      </c>
      <c r="J159" s="10">
        <f>IF(G159="","",IF(ABS(I159)&gt;=Parametros!$B$4,"ATIVA","ESTAVEL"))</f>
        <v/>
      </c>
      <c r="K159" s="11" t="n"/>
      <c r="L159" s="10" t="n"/>
      <c r="M159" s="10" t="n"/>
      <c r="N159" s="10">
        <f>IF(G159="","",IF(M159="Sim","ALTA",IF(AND(OR(K159="Cisalhamento",K159="Recalque diferencial"),J159="ATIVA"),"ALTA",IF(OR(J159="ATIVA",G159&gt;Parametros!$B$5),"MEDIA","BAIXA"))))</f>
        <v/>
      </c>
      <c r="O159" s="11">
        <f>IF(N159="","",IF(N159="ALTA","Escorar/interditar e acionar calculista",IF(N159="MEDIA","Tratar a causa + monitorar","Monitorar e registrar")))</f>
        <v/>
      </c>
      <c r="P159" s="11" t="n"/>
    </row>
    <row r="160">
      <c r="A160" s="14" t="n"/>
      <c r="B160" s="15" t="n"/>
      <c r="C160" s="14" t="n"/>
      <c r="D160" s="14" t="n"/>
      <c r="E160" s="16" t="n"/>
      <c r="F160" s="17" t="n"/>
      <c r="G160" s="16" t="n"/>
      <c r="H160" s="17" t="n"/>
      <c r="I160" s="16">
        <f>IF(G160="","",G160-E160)</f>
        <v/>
      </c>
      <c r="J160" s="14">
        <f>IF(G160="","",IF(ABS(I160)&gt;=Parametros!$B$4,"ATIVA","ESTAVEL"))</f>
        <v/>
      </c>
      <c r="K160" s="15" t="n"/>
      <c r="L160" s="14" t="n"/>
      <c r="M160" s="14" t="n"/>
      <c r="N160" s="14">
        <f>IF(G160="","",IF(M160="Sim","ALTA",IF(AND(OR(K160="Cisalhamento",K160="Recalque diferencial"),J160="ATIVA"),"ALTA",IF(OR(J160="ATIVA",G160&gt;Parametros!$B$5),"MEDIA","BAIXA"))))</f>
        <v/>
      </c>
      <c r="O160" s="15">
        <f>IF(N160="","",IF(N160="ALTA","Escorar/interditar e acionar calculista",IF(N160="MEDIA","Tratar a causa + monitorar","Monitorar e registrar")))</f>
        <v/>
      </c>
      <c r="P160" s="15" t="n"/>
    </row>
    <row r="161">
      <c r="A161" s="10" t="n"/>
      <c r="B161" s="11" t="n"/>
      <c r="C161" s="10" t="n"/>
      <c r="D161" s="10" t="n"/>
      <c r="E161" s="12" t="n"/>
      <c r="F161" s="13" t="n"/>
      <c r="G161" s="12" t="n"/>
      <c r="H161" s="13" t="n"/>
      <c r="I161" s="12">
        <f>IF(G161="","",G161-E161)</f>
        <v/>
      </c>
      <c r="J161" s="10">
        <f>IF(G161="","",IF(ABS(I161)&gt;=Parametros!$B$4,"ATIVA","ESTAVEL"))</f>
        <v/>
      </c>
      <c r="K161" s="11" t="n"/>
      <c r="L161" s="10" t="n"/>
      <c r="M161" s="10" t="n"/>
      <c r="N161" s="10">
        <f>IF(G161="","",IF(M161="Sim","ALTA",IF(AND(OR(K161="Cisalhamento",K161="Recalque diferencial"),J161="ATIVA"),"ALTA",IF(OR(J161="ATIVA",G161&gt;Parametros!$B$5),"MEDIA","BAIXA"))))</f>
        <v/>
      </c>
      <c r="O161" s="11">
        <f>IF(N161="","",IF(N161="ALTA","Escorar/interditar e acionar calculista",IF(N161="MEDIA","Tratar a causa + monitorar","Monitorar e registrar")))</f>
        <v/>
      </c>
      <c r="P161" s="11" t="n"/>
    </row>
    <row r="162">
      <c r="A162" s="14" t="n"/>
      <c r="B162" s="15" t="n"/>
      <c r="C162" s="14" t="n"/>
      <c r="D162" s="14" t="n"/>
      <c r="E162" s="16" t="n"/>
      <c r="F162" s="17" t="n"/>
      <c r="G162" s="16" t="n"/>
      <c r="H162" s="17" t="n"/>
      <c r="I162" s="16">
        <f>IF(G162="","",G162-E162)</f>
        <v/>
      </c>
      <c r="J162" s="14">
        <f>IF(G162="","",IF(ABS(I162)&gt;=Parametros!$B$4,"ATIVA","ESTAVEL"))</f>
        <v/>
      </c>
      <c r="K162" s="15" t="n"/>
      <c r="L162" s="14" t="n"/>
      <c r="M162" s="14" t="n"/>
      <c r="N162" s="14">
        <f>IF(G162="","",IF(M162="Sim","ALTA",IF(AND(OR(K162="Cisalhamento",K162="Recalque diferencial"),J162="ATIVA"),"ALTA",IF(OR(J162="ATIVA",G162&gt;Parametros!$B$5),"MEDIA","BAIXA"))))</f>
        <v/>
      </c>
      <c r="O162" s="15">
        <f>IF(N162="","",IF(N162="ALTA","Escorar/interditar e acionar calculista",IF(N162="MEDIA","Tratar a causa + monitorar","Monitorar e registrar")))</f>
        <v/>
      </c>
      <c r="P162" s="15" t="n"/>
    </row>
    <row r="163">
      <c r="A163" s="10" t="n"/>
      <c r="B163" s="11" t="n"/>
      <c r="C163" s="10" t="n"/>
      <c r="D163" s="10" t="n"/>
      <c r="E163" s="12" t="n"/>
      <c r="F163" s="13" t="n"/>
      <c r="G163" s="12" t="n"/>
      <c r="H163" s="13" t="n"/>
      <c r="I163" s="12">
        <f>IF(G163="","",G163-E163)</f>
        <v/>
      </c>
      <c r="J163" s="10">
        <f>IF(G163="","",IF(ABS(I163)&gt;=Parametros!$B$4,"ATIVA","ESTAVEL"))</f>
        <v/>
      </c>
      <c r="K163" s="11" t="n"/>
      <c r="L163" s="10" t="n"/>
      <c r="M163" s="10" t="n"/>
      <c r="N163" s="10">
        <f>IF(G163="","",IF(M163="Sim","ALTA",IF(AND(OR(K163="Cisalhamento",K163="Recalque diferencial"),J163="ATIVA"),"ALTA",IF(OR(J163="ATIVA",G163&gt;Parametros!$B$5),"MEDIA","BAIXA"))))</f>
        <v/>
      </c>
      <c r="O163" s="11">
        <f>IF(N163="","",IF(N163="ALTA","Escorar/interditar e acionar calculista",IF(N163="MEDIA","Tratar a causa + monitorar","Monitorar e registrar")))</f>
        <v/>
      </c>
      <c r="P163" s="11" t="n"/>
    </row>
    <row r="164">
      <c r="A164" s="14" t="n"/>
      <c r="B164" s="15" t="n"/>
      <c r="C164" s="14" t="n"/>
      <c r="D164" s="14" t="n"/>
      <c r="E164" s="16" t="n"/>
      <c r="F164" s="17" t="n"/>
      <c r="G164" s="16" t="n"/>
      <c r="H164" s="17" t="n"/>
      <c r="I164" s="16">
        <f>IF(G164="","",G164-E164)</f>
        <v/>
      </c>
      <c r="J164" s="14">
        <f>IF(G164="","",IF(ABS(I164)&gt;=Parametros!$B$4,"ATIVA","ESTAVEL"))</f>
        <v/>
      </c>
      <c r="K164" s="15" t="n"/>
      <c r="L164" s="14" t="n"/>
      <c r="M164" s="14" t="n"/>
      <c r="N164" s="14">
        <f>IF(G164="","",IF(M164="Sim","ALTA",IF(AND(OR(K164="Cisalhamento",K164="Recalque diferencial"),J164="ATIVA"),"ALTA",IF(OR(J164="ATIVA",G164&gt;Parametros!$B$5),"MEDIA","BAIXA"))))</f>
        <v/>
      </c>
      <c r="O164" s="15">
        <f>IF(N164="","",IF(N164="ALTA","Escorar/interditar e acionar calculista",IF(N164="MEDIA","Tratar a causa + monitorar","Monitorar e registrar")))</f>
        <v/>
      </c>
      <c r="P164" s="15" t="n"/>
    </row>
    <row r="165">
      <c r="A165" s="10" t="n"/>
      <c r="B165" s="11" t="n"/>
      <c r="C165" s="10" t="n"/>
      <c r="D165" s="10" t="n"/>
      <c r="E165" s="12" t="n"/>
      <c r="F165" s="13" t="n"/>
      <c r="G165" s="12" t="n"/>
      <c r="H165" s="13" t="n"/>
      <c r="I165" s="12">
        <f>IF(G165="","",G165-E165)</f>
        <v/>
      </c>
      <c r="J165" s="10">
        <f>IF(G165="","",IF(ABS(I165)&gt;=Parametros!$B$4,"ATIVA","ESTAVEL"))</f>
        <v/>
      </c>
      <c r="K165" s="11" t="n"/>
      <c r="L165" s="10" t="n"/>
      <c r="M165" s="10" t="n"/>
      <c r="N165" s="10">
        <f>IF(G165="","",IF(M165="Sim","ALTA",IF(AND(OR(K165="Cisalhamento",K165="Recalque diferencial"),J165="ATIVA"),"ALTA",IF(OR(J165="ATIVA",G165&gt;Parametros!$B$5),"MEDIA","BAIXA"))))</f>
        <v/>
      </c>
      <c r="O165" s="11">
        <f>IF(N165="","",IF(N165="ALTA","Escorar/interditar e acionar calculista",IF(N165="MEDIA","Tratar a causa + monitorar","Monitorar e registrar")))</f>
        <v/>
      </c>
      <c r="P165" s="11" t="n"/>
    </row>
    <row r="166">
      <c r="A166" s="14" t="n"/>
      <c r="B166" s="15" t="n"/>
      <c r="C166" s="14" t="n"/>
      <c r="D166" s="14" t="n"/>
      <c r="E166" s="16" t="n"/>
      <c r="F166" s="17" t="n"/>
      <c r="G166" s="16" t="n"/>
      <c r="H166" s="17" t="n"/>
      <c r="I166" s="16">
        <f>IF(G166="","",G166-E166)</f>
        <v/>
      </c>
      <c r="J166" s="14">
        <f>IF(G166="","",IF(ABS(I166)&gt;=Parametros!$B$4,"ATIVA","ESTAVEL"))</f>
        <v/>
      </c>
      <c r="K166" s="15" t="n"/>
      <c r="L166" s="14" t="n"/>
      <c r="M166" s="14" t="n"/>
      <c r="N166" s="14">
        <f>IF(G166="","",IF(M166="Sim","ALTA",IF(AND(OR(K166="Cisalhamento",K166="Recalque diferencial"),J166="ATIVA"),"ALTA",IF(OR(J166="ATIVA",G166&gt;Parametros!$B$5),"MEDIA","BAIXA"))))</f>
        <v/>
      </c>
      <c r="O166" s="15">
        <f>IF(N166="","",IF(N166="ALTA","Escorar/interditar e acionar calculista",IF(N166="MEDIA","Tratar a causa + monitorar","Monitorar e registrar")))</f>
        <v/>
      </c>
      <c r="P166" s="15" t="n"/>
    </row>
    <row r="167">
      <c r="A167" s="10" t="n"/>
      <c r="B167" s="11" t="n"/>
      <c r="C167" s="10" t="n"/>
      <c r="D167" s="10" t="n"/>
      <c r="E167" s="12" t="n"/>
      <c r="F167" s="13" t="n"/>
      <c r="G167" s="12" t="n"/>
      <c r="H167" s="13" t="n"/>
      <c r="I167" s="12">
        <f>IF(G167="","",G167-E167)</f>
        <v/>
      </c>
      <c r="J167" s="10">
        <f>IF(G167="","",IF(ABS(I167)&gt;=Parametros!$B$4,"ATIVA","ESTAVEL"))</f>
        <v/>
      </c>
      <c r="K167" s="11" t="n"/>
      <c r="L167" s="10" t="n"/>
      <c r="M167" s="10" t="n"/>
      <c r="N167" s="10">
        <f>IF(G167="","",IF(M167="Sim","ALTA",IF(AND(OR(K167="Cisalhamento",K167="Recalque diferencial"),J167="ATIVA"),"ALTA",IF(OR(J167="ATIVA",G167&gt;Parametros!$B$5),"MEDIA","BAIXA"))))</f>
        <v/>
      </c>
      <c r="O167" s="11">
        <f>IF(N167="","",IF(N167="ALTA","Escorar/interditar e acionar calculista",IF(N167="MEDIA","Tratar a causa + monitorar","Monitorar e registrar")))</f>
        <v/>
      </c>
      <c r="P167" s="11" t="n"/>
    </row>
    <row r="168">
      <c r="A168" s="14" t="n"/>
      <c r="B168" s="15" t="n"/>
      <c r="C168" s="14" t="n"/>
      <c r="D168" s="14" t="n"/>
      <c r="E168" s="16" t="n"/>
      <c r="F168" s="17" t="n"/>
      <c r="G168" s="16" t="n"/>
      <c r="H168" s="17" t="n"/>
      <c r="I168" s="16">
        <f>IF(G168="","",G168-E168)</f>
        <v/>
      </c>
      <c r="J168" s="14">
        <f>IF(G168="","",IF(ABS(I168)&gt;=Parametros!$B$4,"ATIVA","ESTAVEL"))</f>
        <v/>
      </c>
      <c r="K168" s="15" t="n"/>
      <c r="L168" s="14" t="n"/>
      <c r="M168" s="14" t="n"/>
      <c r="N168" s="14">
        <f>IF(G168="","",IF(M168="Sim","ALTA",IF(AND(OR(K168="Cisalhamento",K168="Recalque diferencial"),J168="ATIVA"),"ALTA",IF(OR(J168="ATIVA",G168&gt;Parametros!$B$5),"MEDIA","BAIXA"))))</f>
        <v/>
      </c>
      <c r="O168" s="15">
        <f>IF(N168="","",IF(N168="ALTA","Escorar/interditar e acionar calculista",IF(N168="MEDIA","Tratar a causa + monitorar","Monitorar e registrar")))</f>
        <v/>
      </c>
      <c r="P168" s="15" t="n"/>
    </row>
    <row r="169">
      <c r="A169" s="10" t="n"/>
      <c r="B169" s="11" t="n"/>
      <c r="C169" s="10" t="n"/>
      <c r="D169" s="10" t="n"/>
      <c r="E169" s="12" t="n"/>
      <c r="F169" s="13" t="n"/>
      <c r="G169" s="12" t="n"/>
      <c r="H169" s="13" t="n"/>
      <c r="I169" s="12">
        <f>IF(G169="","",G169-E169)</f>
        <v/>
      </c>
      <c r="J169" s="10">
        <f>IF(G169="","",IF(ABS(I169)&gt;=Parametros!$B$4,"ATIVA","ESTAVEL"))</f>
        <v/>
      </c>
      <c r="K169" s="11" t="n"/>
      <c r="L169" s="10" t="n"/>
      <c r="M169" s="10" t="n"/>
      <c r="N169" s="10">
        <f>IF(G169="","",IF(M169="Sim","ALTA",IF(AND(OR(K169="Cisalhamento",K169="Recalque diferencial"),J169="ATIVA"),"ALTA",IF(OR(J169="ATIVA",G169&gt;Parametros!$B$5),"MEDIA","BAIXA"))))</f>
        <v/>
      </c>
      <c r="O169" s="11">
        <f>IF(N169="","",IF(N169="ALTA","Escorar/interditar e acionar calculista",IF(N169="MEDIA","Tratar a causa + monitorar","Monitorar e registrar")))</f>
        <v/>
      </c>
      <c r="P169" s="11" t="n"/>
    </row>
    <row r="170">
      <c r="A170" s="14" t="n"/>
      <c r="B170" s="15" t="n"/>
      <c r="C170" s="14" t="n"/>
      <c r="D170" s="14" t="n"/>
      <c r="E170" s="16" t="n"/>
      <c r="F170" s="17" t="n"/>
      <c r="G170" s="16" t="n"/>
      <c r="H170" s="17" t="n"/>
      <c r="I170" s="16">
        <f>IF(G170="","",G170-E170)</f>
        <v/>
      </c>
      <c r="J170" s="14">
        <f>IF(G170="","",IF(ABS(I170)&gt;=Parametros!$B$4,"ATIVA","ESTAVEL"))</f>
        <v/>
      </c>
      <c r="K170" s="15" t="n"/>
      <c r="L170" s="14" t="n"/>
      <c r="M170" s="14" t="n"/>
      <c r="N170" s="14">
        <f>IF(G170="","",IF(M170="Sim","ALTA",IF(AND(OR(K170="Cisalhamento",K170="Recalque diferencial"),J170="ATIVA"),"ALTA",IF(OR(J170="ATIVA",G170&gt;Parametros!$B$5),"MEDIA","BAIXA"))))</f>
        <v/>
      </c>
      <c r="O170" s="15">
        <f>IF(N170="","",IF(N170="ALTA","Escorar/interditar e acionar calculista",IF(N170="MEDIA","Tratar a causa + monitorar","Monitorar e registrar")))</f>
        <v/>
      </c>
      <c r="P170" s="15" t="n"/>
    </row>
    <row r="171">
      <c r="A171" s="10" t="n"/>
      <c r="B171" s="11" t="n"/>
      <c r="C171" s="10" t="n"/>
      <c r="D171" s="10" t="n"/>
      <c r="E171" s="12" t="n"/>
      <c r="F171" s="13" t="n"/>
      <c r="G171" s="12" t="n"/>
      <c r="H171" s="13" t="n"/>
      <c r="I171" s="12">
        <f>IF(G171="","",G171-E171)</f>
        <v/>
      </c>
      <c r="J171" s="10">
        <f>IF(G171="","",IF(ABS(I171)&gt;=Parametros!$B$4,"ATIVA","ESTAVEL"))</f>
        <v/>
      </c>
      <c r="K171" s="11" t="n"/>
      <c r="L171" s="10" t="n"/>
      <c r="M171" s="10" t="n"/>
      <c r="N171" s="10">
        <f>IF(G171="","",IF(M171="Sim","ALTA",IF(AND(OR(K171="Cisalhamento",K171="Recalque diferencial"),J171="ATIVA"),"ALTA",IF(OR(J171="ATIVA",G171&gt;Parametros!$B$5),"MEDIA","BAIXA"))))</f>
        <v/>
      </c>
      <c r="O171" s="11">
        <f>IF(N171="","",IF(N171="ALTA","Escorar/interditar e acionar calculista",IF(N171="MEDIA","Tratar a causa + monitorar","Monitorar e registrar")))</f>
        <v/>
      </c>
      <c r="P171" s="11" t="n"/>
    </row>
    <row r="172">
      <c r="A172" s="14" t="n"/>
      <c r="B172" s="15" t="n"/>
      <c r="C172" s="14" t="n"/>
      <c r="D172" s="14" t="n"/>
      <c r="E172" s="16" t="n"/>
      <c r="F172" s="17" t="n"/>
      <c r="G172" s="16" t="n"/>
      <c r="H172" s="17" t="n"/>
      <c r="I172" s="16">
        <f>IF(G172="","",G172-E172)</f>
        <v/>
      </c>
      <c r="J172" s="14">
        <f>IF(G172="","",IF(ABS(I172)&gt;=Parametros!$B$4,"ATIVA","ESTAVEL"))</f>
        <v/>
      </c>
      <c r="K172" s="15" t="n"/>
      <c r="L172" s="14" t="n"/>
      <c r="M172" s="14" t="n"/>
      <c r="N172" s="14">
        <f>IF(G172="","",IF(M172="Sim","ALTA",IF(AND(OR(K172="Cisalhamento",K172="Recalque diferencial"),J172="ATIVA"),"ALTA",IF(OR(J172="ATIVA",G172&gt;Parametros!$B$5),"MEDIA","BAIXA"))))</f>
        <v/>
      </c>
      <c r="O172" s="15">
        <f>IF(N172="","",IF(N172="ALTA","Escorar/interditar e acionar calculista",IF(N172="MEDIA","Tratar a causa + monitorar","Monitorar e registrar")))</f>
        <v/>
      </c>
      <c r="P172" s="15" t="n"/>
    </row>
    <row r="173">
      <c r="A173" s="10" t="n"/>
      <c r="B173" s="11" t="n"/>
      <c r="C173" s="10" t="n"/>
      <c r="D173" s="10" t="n"/>
      <c r="E173" s="12" t="n"/>
      <c r="F173" s="13" t="n"/>
      <c r="G173" s="12" t="n"/>
      <c r="H173" s="13" t="n"/>
      <c r="I173" s="12">
        <f>IF(G173="","",G173-E173)</f>
        <v/>
      </c>
      <c r="J173" s="10">
        <f>IF(G173="","",IF(ABS(I173)&gt;=Parametros!$B$4,"ATIVA","ESTAVEL"))</f>
        <v/>
      </c>
      <c r="K173" s="11" t="n"/>
      <c r="L173" s="10" t="n"/>
      <c r="M173" s="10" t="n"/>
      <c r="N173" s="10">
        <f>IF(G173="","",IF(M173="Sim","ALTA",IF(AND(OR(K173="Cisalhamento",K173="Recalque diferencial"),J173="ATIVA"),"ALTA",IF(OR(J173="ATIVA",G173&gt;Parametros!$B$5),"MEDIA","BAIXA"))))</f>
        <v/>
      </c>
      <c r="O173" s="11">
        <f>IF(N173="","",IF(N173="ALTA","Escorar/interditar e acionar calculista",IF(N173="MEDIA","Tratar a causa + monitorar","Monitorar e registrar")))</f>
        <v/>
      </c>
      <c r="P173" s="11" t="n"/>
    </row>
    <row r="174">
      <c r="A174" s="14" t="n"/>
      <c r="B174" s="15" t="n"/>
      <c r="C174" s="14" t="n"/>
      <c r="D174" s="14" t="n"/>
      <c r="E174" s="16" t="n"/>
      <c r="F174" s="17" t="n"/>
      <c r="G174" s="16" t="n"/>
      <c r="H174" s="17" t="n"/>
      <c r="I174" s="16">
        <f>IF(G174="","",G174-E174)</f>
        <v/>
      </c>
      <c r="J174" s="14">
        <f>IF(G174="","",IF(ABS(I174)&gt;=Parametros!$B$4,"ATIVA","ESTAVEL"))</f>
        <v/>
      </c>
      <c r="K174" s="15" t="n"/>
      <c r="L174" s="14" t="n"/>
      <c r="M174" s="14" t="n"/>
      <c r="N174" s="14">
        <f>IF(G174="","",IF(M174="Sim","ALTA",IF(AND(OR(K174="Cisalhamento",K174="Recalque diferencial"),J174="ATIVA"),"ALTA",IF(OR(J174="ATIVA",G174&gt;Parametros!$B$5),"MEDIA","BAIXA"))))</f>
        <v/>
      </c>
      <c r="O174" s="15">
        <f>IF(N174="","",IF(N174="ALTA","Escorar/interditar e acionar calculista",IF(N174="MEDIA","Tratar a causa + monitorar","Monitorar e registrar")))</f>
        <v/>
      </c>
      <c r="P174" s="15" t="n"/>
    </row>
    <row r="175">
      <c r="A175" s="10" t="n"/>
      <c r="B175" s="11" t="n"/>
      <c r="C175" s="10" t="n"/>
      <c r="D175" s="10" t="n"/>
      <c r="E175" s="12" t="n"/>
      <c r="F175" s="13" t="n"/>
      <c r="G175" s="12" t="n"/>
      <c r="H175" s="13" t="n"/>
      <c r="I175" s="12">
        <f>IF(G175="","",G175-E175)</f>
        <v/>
      </c>
      <c r="J175" s="10">
        <f>IF(G175="","",IF(ABS(I175)&gt;=Parametros!$B$4,"ATIVA","ESTAVEL"))</f>
        <v/>
      </c>
      <c r="K175" s="11" t="n"/>
      <c r="L175" s="10" t="n"/>
      <c r="M175" s="10" t="n"/>
      <c r="N175" s="10">
        <f>IF(G175="","",IF(M175="Sim","ALTA",IF(AND(OR(K175="Cisalhamento",K175="Recalque diferencial"),J175="ATIVA"),"ALTA",IF(OR(J175="ATIVA",G175&gt;Parametros!$B$5),"MEDIA","BAIXA"))))</f>
        <v/>
      </c>
      <c r="O175" s="11">
        <f>IF(N175="","",IF(N175="ALTA","Escorar/interditar e acionar calculista",IF(N175="MEDIA","Tratar a causa + monitorar","Monitorar e registrar")))</f>
        <v/>
      </c>
      <c r="P175" s="11" t="n"/>
    </row>
    <row r="176">
      <c r="A176" s="14" t="n"/>
      <c r="B176" s="15" t="n"/>
      <c r="C176" s="14" t="n"/>
      <c r="D176" s="14" t="n"/>
      <c r="E176" s="16" t="n"/>
      <c r="F176" s="17" t="n"/>
      <c r="G176" s="16" t="n"/>
      <c r="H176" s="17" t="n"/>
      <c r="I176" s="16">
        <f>IF(G176="","",G176-E176)</f>
        <v/>
      </c>
      <c r="J176" s="14">
        <f>IF(G176="","",IF(ABS(I176)&gt;=Parametros!$B$4,"ATIVA","ESTAVEL"))</f>
        <v/>
      </c>
      <c r="K176" s="15" t="n"/>
      <c r="L176" s="14" t="n"/>
      <c r="M176" s="14" t="n"/>
      <c r="N176" s="14">
        <f>IF(G176="","",IF(M176="Sim","ALTA",IF(AND(OR(K176="Cisalhamento",K176="Recalque diferencial"),J176="ATIVA"),"ALTA",IF(OR(J176="ATIVA",G176&gt;Parametros!$B$5),"MEDIA","BAIXA"))))</f>
        <v/>
      </c>
      <c r="O176" s="15">
        <f>IF(N176="","",IF(N176="ALTA","Escorar/interditar e acionar calculista",IF(N176="MEDIA","Tratar a causa + monitorar","Monitorar e registrar")))</f>
        <v/>
      </c>
      <c r="P176" s="15" t="n"/>
    </row>
    <row r="177">
      <c r="A177" s="10" t="n"/>
      <c r="B177" s="11" t="n"/>
      <c r="C177" s="10" t="n"/>
      <c r="D177" s="10" t="n"/>
      <c r="E177" s="12" t="n"/>
      <c r="F177" s="13" t="n"/>
      <c r="G177" s="12" t="n"/>
      <c r="H177" s="13" t="n"/>
      <c r="I177" s="12">
        <f>IF(G177="","",G177-E177)</f>
        <v/>
      </c>
      <c r="J177" s="10">
        <f>IF(G177="","",IF(ABS(I177)&gt;=Parametros!$B$4,"ATIVA","ESTAVEL"))</f>
        <v/>
      </c>
      <c r="K177" s="11" t="n"/>
      <c r="L177" s="10" t="n"/>
      <c r="M177" s="10" t="n"/>
      <c r="N177" s="10">
        <f>IF(G177="","",IF(M177="Sim","ALTA",IF(AND(OR(K177="Cisalhamento",K177="Recalque diferencial"),J177="ATIVA"),"ALTA",IF(OR(J177="ATIVA",G177&gt;Parametros!$B$5),"MEDIA","BAIXA"))))</f>
        <v/>
      </c>
      <c r="O177" s="11">
        <f>IF(N177="","",IF(N177="ALTA","Escorar/interditar e acionar calculista",IF(N177="MEDIA","Tratar a causa + monitorar","Monitorar e registrar")))</f>
        <v/>
      </c>
      <c r="P177" s="11" t="n"/>
    </row>
    <row r="178">
      <c r="A178" s="14" t="n"/>
      <c r="B178" s="15" t="n"/>
      <c r="C178" s="14" t="n"/>
      <c r="D178" s="14" t="n"/>
      <c r="E178" s="16" t="n"/>
      <c r="F178" s="17" t="n"/>
      <c r="G178" s="16" t="n"/>
      <c r="H178" s="17" t="n"/>
      <c r="I178" s="16">
        <f>IF(G178="","",G178-E178)</f>
        <v/>
      </c>
      <c r="J178" s="14">
        <f>IF(G178="","",IF(ABS(I178)&gt;=Parametros!$B$4,"ATIVA","ESTAVEL"))</f>
        <v/>
      </c>
      <c r="K178" s="15" t="n"/>
      <c r="L178" s="14" t="n"/>
      <c r="M178" s="14" t="n"/>
      <c r="N178" s="14">
        <f>IF(G178="","",IF(M178="Sim","ALTA",IF(AND(OR(K178="Cisalhamento",K178="Recalque diferencial"),J178="ATIVA"),"ALTA",IF(OR(J178="ATIVA",G178&gt;Parametros!$B$5),"MEDIA","BAIXA"))))</f>
        <v/>
      </c>
      <c r="O178" s="15">
        <f>IF(N178="","",IF(N178="ALTA","Escorar/interditar e acionar calculista",IF(N178="MEDIA","Tratar a causa + monitorar","Monitorar e registrar")))</f>
        <v/>
      </c>
      <c r="P178" s="15" t="n"/>
    </row>
    <row r="179">
      <c r="A179" s="10" t="n"/>
      <c r="B179" s="11" t="n"/>
      <c r="C179" s="10" t="n"/>
      <c r="D179" s="10" t="n"/>
      <c r="E179" s="12" t="n"/>
      <c r="F179" s="13" t="n"/>
      <c r="G179" s="12" t="n"/>
      <c r="H179" s="13" t="n"/>
      <c r="I179" s="12">
        <f>IF(G179="","",G179-E179)</f>
        <v/>
      </c>
      <c r="J179" s="10">
        <f>IF(G179="","",IF(ABS(I179)&gt;=Parametros!$B$4,"ATIVA","ESTAVEL"))</f>
        <v/>
      </c>
      <c r="K179" s="11" t="n"/>
      <c r="L179" s="10" t="n"/>
      <c r="M179" s="10" t="n"/>
      <c r="N179" s="10">
        <f>IF(G179="","",IF(M179="Sim","ALTA",IF(AND(OR(K179="Cisalhamento",K179="Recalque diferencial"),J179="ATIVA"),"ALTA",IF(OR(J179="ATIVA",G179&gt;Parametros!$B$5),"MEDIA","BAIXA"))))</f>
        <v/>
      </c>
      <c r="O179" s="11">
        <f>IF(N179="","",IF(N179="ALTA","Escorar/interditar e acionar calculista",IF(N179="MEDIA","Tratar a causa + monitorar","Monitorar e registrar")))</f>
        <v/>
      </c>
      <c r="P179" s="11" t="n"/>
    </row>
    <row r="180">
      <c r="A180" s="14" t="n"/>
      <c r="B180" s="15" t="n"/>
      <c r="C180" s="14" t="n"/>
      <c r="D180" s="14" t="n"/>
      <c r="E180" s="16" t="n"/>
      <c r="F180" s="17" t="n"/>
      <c r="G180" s="16" t="n"/>
      <c r="H180" s="17" t="n"/>
      <c r="I180" s="16">
        <f>IF(G180="","",G180-E180)</f>
        <v/>
      </c>
      <c r="J180" s="14">
        <f>IF(G180="","",IF(ABS(I180)&gt;=Parametros!$B$4,"ATIVA","ESTAVEL"))</f>
        <v/>
      </c>
      <c r="K180" s="15" t="n"/>
      <c r="L180" s="14" t="n"/>
      <c r="M180" s="14" t="n"/>
      <c r="N180" s="14">
        <f>IF(G180="","",IF(M180="Sim","ALTA",IF(AND(OR(K180="Cisalhamento",K180="Recalque diferencial"),J180="ATIVA"),"ALTA",IF(OR(J180="ATIVA",G180&gt;Parametros!$B$5),"MEDIA","BAIXA"))))</f>
        <v/>
      </c>
      <c r="O180" s="15">
        <f>IF(N180="","",IF(N180="ALTA","Escorar/interditar e acionar calculista",IF(N180="MEDIA","Tratar a causa + monitorar","Monitorar e registrar")))</f>
        <v/>
      </c>
      <c r="P180" s="15" t="n"/>
    </row>
    <row r="181">
      <c r="A181" s="10" t="n"/>
      <c r="B181" s="11" t="n"/>
      <c r="C181" s="10" t="n"/>
      <c r="D181" s="10" t="n"/>
      <c r="E181" s="12" t="n"/>
      <c r="F181" s="13" t="n"/>
      <c r="G181" s="12" t="n"/>
      <c r="H181" s="13" t="n"/>
      <c r="I181" s="12">
        <f>IF(G181="","",G181-E181)</f>
        <v/>
      </c>
      <c r="J181" s="10">
        <f>IF(G181="","",IF(ABS(I181)&gt;=Parametros!$B$4,"ATIVA","ESTAVEL"))</f>
        <v/>
      </c>
      <c r="K181" s="11" t="n"/>
      <c r="L181" s="10" t="n"/>
      <c r="M181" s="10" t="n"/>
      <c r="N181" s="10">
        <f>IF(G181="","",IF(M181="Sim","ALTA",IF(AND(OR(K181="Cisalhamento",K181="Recalque diferencial"),J181="ATIVA"),"ALTA",IF(OR(J181="ATIVA",G181&gt;Parametros!$B$5),"MEDIA","BAIXA"))))</f>
        <v/>
      </c>
      <c r="O181" s="11">
        <f>IF(N181="","",IF(N181="ALTA","Escorar/interditar e acionar calculista",IF(N181="MEDIA","Tratar a causa + monitorar","Monitorar e registrar")))</f>
        <v/>
      </c>
      <c r="P181" s="11" t="n"/>
    </row>
    <row r="182">
      <c r="A182" s="14" t="n"/>
      <c r="B182" s="15" t="n"/>
      <c r="C182" s="14" t="n"/>
      <c r="D182" s="14" t="n"/>
      <c r="E182" s="16" t="n"/>
      <c r="F182" s="17" t="n"/>
      <c r="G182" s="16" t="n"/>
      <c r="H182" s="17" t="n"/>
      <c r="I182" s="16">
        <f>IF(G182="","",G182-E182)</f>
        <v/>
      </c>
      <c r="J182" s="14">
        <f>IF(G182="","",IF(ABS(I182)&gt;=Parametros!$B$4,"ATIVA","ESTAVEL"))</f>
        <v/>
      </c>
      <c r="K182" s="15" t="n"/>
      <c r="L182" s="14" t="n"/>
      <c r="M182" s="14" t="n"/>
      <c r="N182" s="14">
        <f>IF(G182="","",IF(M182="Sim","ALTA",IF(AND(OR(K182="Cisalhamento",K182="Recalque diferencial"),J182="ATIVA"),"ALTA",IF(OR(J182="ATIVA",G182&gt;Parametros!$B$5),"MEDIA","BAIXA"))))</f>
        <v/>
      </c>
      <c r="O182" s="15">
        <f>IF(N182="","",IF(N182="ALTA","Escorar/interditar e acionar calculista",IF(N182="MEDIA","Tratar a causa + monitorar","Monitorar e registrar")))</f>
        <v/>
      </c>
      <c r="P182" s="15" t="n"/>
    </row>
    <row r="183">
      <c r="A183" s="10" t="n"/>
      <c r="B183" s="11" t="n"/>
      <c r="C183" s="10" t="n"/>
      <c r="D183" s="10" t="n"/>
      <c r="E183" s="12" t="n"/>
      <c r="F183" s="13" t="n"/>
      <c r="G183" s="12" t="n"/>
      <c r="H183" s="13" t="n"/>
      <c r="I183" s="12">
        <f>IF(G183="","",G183-E183)</f>
        <v/>
      </c>
      <c r="J183" s="10">
        <f>IF(G183="","",IF(ABS(I183)&gt;=Parametros!$B$4,"ATIVA","ESTAVEL"))</f>
        <v/>
      </c>
      <c r="K183" s="11" t="n"/>
      <c r="L183" s="10" t="n"/>
      <c r="M183" s="10" t="n"/>
      <c r="N183" s="10">
        <f>IF(G183="","",IF(M183="Sim","ALTA",IF(AND(OR(K183="Cisalhamento",K183="Recalque diferencial"),J183="ATIVA"),"ALTA",IF(OR(J183="ATIVA",G183&gt;Parametros!$B$5),"MEDIA","BAIXA"))))</f>
        <v/>
      </c>
      <c r="O183" s="11">
        <f>IF(N183="","",IF(N183="ALTA","Escorar/interditar e acionar calculista",IF(N183="MEDIA","Tratar a causa + monitorar","Monitorar e registrar")))</f>
        <v/>
      </c>
      <c r="P183" s="11" t="n"/>
    </row>
    <row r="184">
      <c r="A184" s="14" t="n"/>
      <c r="B184" s="15" t="n"/>
      <c r="C184" s="14" t="n"/>
      <c r="D184" s="14" t="n"/>
      <c r="E184" s="16" t="n"/>
      <c r="F184" s="17" t="n"/>
      <c r="G184" s="16" t="n"/>
      <c r="H184" s="17" t="n"/>
      <c r="I184" s="16">
        <f>IF(G184="","",G184-E184)</f>
        <v/>
      </c>
      <c r="J184" s="14">
        <f>IF(G184="","",IF(ABS(I184)&gt;=Parametros!$B$4,"ATIVA","ESTAVEL"))</f>
        <v/>
      </c>
      <c r="K184" s="15" t="n"/>
      <c r="L184" s="14" t="n"/>
      <c r="M184" s="14" t="n"/>
      <c r="N184" s="14">
        <f>IF(G184="","",IF(M184="Sim","ALTA",IF(AND(OR(K184="Cisalhamento",K184="Recalque diferencial"),J184="ATIVA"),"ALTA",IF(OR(J184="ATIVA",G184&gt;Parametros!$B$5),"MEDIA","BAIXA"))))</f>
        <v/>
      </c>
      <c r="O184" s="15">
        <f>IF(N184="","",IF(N184="ALTA","Escorar/interditar e acionar calculista",IF(N184="MEDIA","Tratar a causa + monitorar","Monitorar e registrar")))</f>
        <v/>
      </c>
      <c r="P184" s="15" t="n"/>
    </row>
    <row r="185">
      <c r="A185" s="10" t="n"/>
      <c r="B185" s="11" t="n"/>
      <c r="C185" s="10" t="n"/>
      <c r="D185" s="10" t="n"/>
      <c r="E185" s="12" t="n"/>
      <c r="F185" s="13" t="n"/>
      <c r="G185" s="12" t="n"/>
      <c r="H185" s="13" t="n"/>
      <c r="I185" s="12">
        <f>IF(G185="","",G185-E185)</f>
        <v/>
      </c>
      <c r="J185" s="10">
        <f>IF(G185="","",IF(ABS(I185)&gt;=Parametros!$B$4,"ATIVA","ESTAVEL"))</f>
        <v/>
      </c>
      <c r="K185" s="11" t="n"/>
      <c r="L185" s="10" t="n"/>
      <c r="M185" s="10" t="n"/>
      <c r="N185" s="10">
        <f>IF(G185="","",IF(M185="Sim","ALTA",IF(AND(OR(K185="Cisalhamento",K185="Recalque diferencial"),J185="ATIVA"),"ALTA",IF(OR(J185="ATIVA",G185&gt;Parametros!$B$5),"MEDIA","BAIXA"))))</f>
        <v/>
      </c>
      <c r="O185" s="11">
        <f>IF(N185="","",IF(N185="ALTA","Escorar/interditar e acionar calculista",IF(N185="MEDIA","Tratar a causa + monitorar","Monitorar e registrar")))</f>
        <v/>
      </c>
      <c r="P185" s="11" t="n"/>
    </row>
    <row r="186">
      <c r="A186" s="14" t="n"/>
      <c r="B186" s="15" t="n"/>
      <c r="C186" s="14" t="n"/>
      <c r="D186" s="14" t="n"/>
      <c r="E186" s="16" t="n"/>
      <c r="F186" s="17" t="n"/>
      <c r="G186" s="16" t="n"/>
      <c r="H186" s="17" t="n"/>
      <c r="I186" s="16">
        <f>IF(G186="","",G186-E186)</f>
        <v/>
      </c>
      <c r="J186" s="14">
        <f>IF(G186="","",IF(ABS(I186)&gt;=Parametros!$B$4,"ATIVA","ESTAVEL"))</f>
        <v/>
      </c>
      <c r="K186" s="15" t="n"/>
      <c r="L186" s="14" t="n"/>
      <c r="M186" s="14" t="n"/>
      <c r="N186" s="14">
        <f>IF(G186="","",IF(M186="Sim","ALTA",IF(AND(OR(K186="Cisalhamento",K186="Recalque diferencial"),J186="ATIVA"),"ALTA",IF(OR(J186="ATIVA",G186&gt;Parametros!$B$5),"MEDIA","BAIXA"))))</f>
        <v/>
      </c>
      <c r="O186" s="15">
        <f>IF(N186="","",IF(N186="ALTA","Escorar/interditar e acionar calculista",IF(N186="MEDIA","Tratar a causa + monitorar","Monitorar e registrar")))</f>
        <v/>
      </c>
      <c r="P186" s="15" t="n"/>
    </row>
    <row r="187">
      <c r="A187" s="10" t="n"/>
      <c r="B187" s="11" t="n"/>
      <c r="C187" s="10" t="n"/>
      <c r="D187" s="10" t="n"/>
      <c r="E187" s="12" t="n"/>
      <c r="F187" s="13" t="n"/>
      <c r="G187" s="12" t="n"/>
      <c r="H187" s="13" t="n"/>
      <c r="I187" s="12">
        <f>IF(G187="","",G187-E187)</f>
        <v/>
      </c>
      <c r="J187" s="10">
        <f>IF(G187="","",IF(ABS(I187)&gt;=Parametros!$B$4,"ATIVA","ESTAVEL"))</f>
        <v/>
      </c>
      <c r="K187" s="11" t="n"/>
      <c r="L187" s="10" t="n"/>
      <c r="M187" s="10" t="n"/>
      <c r="N187" s="10">
        <f>IF(G187="","",IF(M187="Sim","ALTA",IF(AND(OR(K187="Cisalhamento",K187="Recalque diferencial"),J187="ATIVA"),"ALTA",IF(OR(J187="ATIVA",G187&gt;Parametros!$B$5),"MEDIA","BAIXA"))))</f>
        <v/>
      </c>
      <c r="O187" s="11">
        <f>IF(N187="","",IF(N187="ALTA","Escorar/interditar e acionar calculista",IF(N187="MEDIA","Tratar a causa + monitorar","Monitorar e registrar")))</f>
        <v/>
      </c>
      <c r="P187" s="11" t="n"/>
    </row>
    <row r="188">
      <c r="A188" s="14" t="n"/>
      <c r="B188" s="15" t="n"/>
      <c r="C188" s="14" t="n"/>
      <c r="D188" s="14" t="n"/>
      <c r="E188" s="16" t="n"/>
      <c r="F188" s="17" t="n"/>
      <c r="G188" s="16" t="n"/>
      <c r="H188" s="17" t="n"/>
      <c r="I188" s="16">
        <f>IF(G188="","",G188-E188)</f>
        <v/>
      </c>
      <c r="J188" s="14">
        <f>IF(G188="","",IF(ABS(I188)&gt;=Parametros!$B$4,"ATIVA","ESTAVEL"))</f>
        <v/>
      </c>
      <c r="K188" s="15" t="n"/>
      <c r="L188" s="14" t="n"/>
      <c r="M188" s="14" t="n"/>
      <c r="N188" s="14">
        <f>IF(G188="","",IF(M188="Sim","ALTA",IF(AND(OR(K188="Cisalhamento",K188="Recalque diferencial"),J188="ATIVA"),"ALTA",IF(OR(J188="ATIVA",G188&gt;Parametros!$B$5),"MEDIA","BAIXA"))))</f>
        <v/>
      </c>
      <c r="O188" s="15">
        <f>IF(N188="","",IF(N188="ALTA","Escorar/interditar e acionar calculista",IF(N188="MEDIA","Tratar a causa + monitorar","Monitorar e registrar")))</f>
        <v/>
      </c>
      <c r="P188" s="15" t="n"/>
    </row>
    <row r="189">
      <c r="A189" s="10" t="n"/>
      <c r="B189" s="11" t="n"/>
      <c r="C189" s="10" t="n"/>
      <c r="D189" s="10" t="n"/>
      <c r="E189" s="12" t="n"/>
      <c r="F189" s="13" t="n"/>
      <c r="G189" s="12" t="n"/>
      <c r="H189" s="13" t="n"/>
      <c r="I189" s="12">
        <f>IF(G189="","",G189-E189)</f>
        <v/>
      </c>
      <c r="J189" s="10">
        <f>IF(G189="","",IF(ABS(I189)&gt;=Parametros!$B$4,"ATIVA","ESTAVEL"))</f>
        <v/>
      </c>
      <c r="K189" s="11" t="n"/>
      <c r="L189" s="10" t="n"/>
      <c r="M189" s="10" t="n"/>
      <c r="N189" s="10">
        <f>IF(G189="","",IF(M189="Sim","ALTA",IF(AND(OR(K189="Cisalhamento",K189="Recalque diferencial"),J189="ATIVA"),"ALTA",IF(OR(J189="ATIVA",G189&gt;Parametros!$B$5),"MEDIA","BAIXA"))))</f>
        <v/>
      </c>
      <c r="O189" s="11">
        <f>IF(N189="","",IF(N189="ALTA","Escorar/interditar e acionar calculista",IF(N189="MEDIA","Tratar a causa + monitorar","Monitorar e registrar")))</f>
        <v/>
      </c>
      <c r="P189" s="11" t="n"/>
    </row>
    <row r="190">
      <c r="A190" s="14" t="n"/>
      <c r="B190" s="15" t="n"/>
      <c r="C190" s="14" t="n"/>
      <c r="D190" s="14" t="n"/>
      <c r="E190" s="16" t="n"/>
      <c r="F190" s="17" t="n"/>
      <c r="G190" s="16" t="n"/>
      <c r="H190" s="17" t="n"/>
      <c r="I190" s="16">
        <f>IF(G190="","",G190-E190)</f>
        <v/>
      </c>
      <c r="J190" s="14">
        <f>IF(G190="","",IF(ABS(I190)&gt;=Parametros!$B$4,"ATIVA","ESTAVEL"))</f>
        <v/>
      </c>
      <c r="K190" s="15" t="n"/>
      <c r="L190" s="14" t="n"/>
      <c r="M190" s="14" t="n"/>
      <c r="N190" s="14">
        <f>IF(G190="","",IF(M190="Sim","ALTA",IF(AND(OR(K190="Cisalhamento",K190="Recalque diferencial"),J190="ATIVA"),"ALTA",IF(OR(J190="ATIVA",G190&gt;Parametros!$B$5),"MEDIA","BAIXA"))))</f>
        <v/>
      </c>
      <c r="O190" s="15">
        <f>IF(N190="","",IF(N190="ALTA","Escorar/interditar e acionar calculista",IF(N190="MEDIA","Tratar a causa + monitorar","Monitorar e registrar")))</f>
        <v/>
      </c>
      <c r="P190" s="15" t="n"/>
    </row>
    <row r="191">
      <c r="A191" s="10" t="n"/>
      <c r="B191" s="11" t="n"/>
      <c r="C191" s="10" t="n"/>
      <c r="D191" s="10" t="n"/>
      <c r="E191" s="12" t="n"/>
      <c r="F191" s="13" t="n"/>
      <c r="G191" s="12" t="n"/>
      <c r="H191" s="13" t="n"/>
      <c r="I191" s="12">
        <f>IF(G191="","",G191-E191)</f>
        <v/>
      </c>
      <c r="J191" s="10">
        <f>IF(G191="","",IF(ABS(I191)&gt;=Parametros!$B$4,"ATIVA","ESTAVEL"))</f>
        <v/>
      </c>
      <c r="K191" s="11" t="n"/>
      <c r="L191" s="10" t="n"/>
      <c r="M191" s="10" t="n"/>
      <c r="N191" s="10">
        <f>IF(G191="","",IF(M191="Sim","ALTA",IF(AND(OR(K191="Cisalhamento",K191="Recalque diferencial"),J191="ATIVA"),"ALTA",IF(OR(J191="ATIVA",G191&gt;Parametros!$B$5),"MEDIA","BAIXA"))))</f>
        <v/>
      </c>
      <c r="O191" s="11">
        <f>IF(N191="","",IF(N191="ALTA","Escorar/interditar e acionar calculista",IF(N191="MEDIA","Tratar a causa + monitorar","Monitorar e registrar")))</f>
        <v/>
      </c>
      <c r="P191" s="11" t="n"/>
    </row>
    <row r="192">
      <c r="A192" s="14" t="n"/>
      <c r="B192" s="15" t="n"/>
      <c r="C192" s="14" t="n"/>
      <c r="D192" s="14" t="n"/>
      <c r="E192" s="16" t="n"/>
      <c r="F192" s="17" t="n"/>
      <c r="G192" s="16" t="n"/>
      <c r="H192" s="17" t="n"/>
      <c r="I192" s="16">
        <f>IF(G192="","",G192-E192)</f>
        <v/>
      </c>
      <c r="J192" s="14">
        <f>IF(G192="","",IF(ABS(I192)&gt;=Parametros!$B$4,"ATIVA","ESTAVEL"))</f>
        <v/>
      </c>
      <c r="K192" s="15" t="n"/>
      <c r="L192" s="14" t="n"/>
      <c r="M192" s="14" t="n"/>
      <c r="N192" s="14">
        <f>IF(G192="","",IF(M192="Sim","ALTA",IF(AND(OR(K192="Cisalhamento",K192="Recalque diferencial"),J192="ATIVA"),"ALTA",IF(OR(J192="ATIVA",G192&gt;Parametros!$B$5),"MEDIA","BAIXA"))))</f>
        <v/>
      </c>
      <c r="O192" s="15">
        <f>IF(N192="","",IF(N192="ALTA","Escorar/interditar e acionar calculista",IF(N192="MEDIA","Tratar a causa + monitorar","Monitorar e registrar")))</f>
        <v/>
      </c>
      <c r="P192" s="15" t="n"/>
    </row>
    <row r="193">
      <c r="A193" s="10" t="n"/>
      <c r="B193" s="11" t="n"/>
      <c r="C193" s="10" t="n"/>
      <c r="D193" s="10" t="n"/>
      <c r="E193" s="12" t="n"/>
      <c r="F193" s="13" t="n"/>
      <c r="G193" s="12" t="n"/>
      <c r="H193" s="13" t="n"/>
      <c r="I193" s="12">
        <f>IF(G193="","",G193-E193)</f>
        <v/>
      </c>
      <c r="J193" s="10">
        <f>IF(G193="","",IF(ABS(I193)&gt;=Parametros!$B$4,"ATIVA","ESTAVEL"))</f>
        <v/>
      </c>
      <c r="K193" s="11" t="n"/>
      <c r="L193" s="10" t="n"/>
      <c r="M193" s="10" t="n"/>
      <c r="N193" s="10">
        <f>IF(G193="","",IF(M193="Sim","ALTA",IF(AND(OR(K193="Cisalhamento",K193="Recalque diferencial"),J193="ATIVA"),"ALTA",IF(OR(J193="ATIVA",G193&gt;Parametros!$B$5),"MEDIA","BAIXA"))))</f>
        <v/>
      </c>
      <c r="O193" s="11">
        <f>IF(N193="","",IF(N193="ALTA","Escorar/interditar e acionar calculista",IF(N193="MEDIA","Tratar a causa + monitorar","Monitorar e registrar")))</f>
        <v/>
      </c>
      <c r="P193" s="11" t="n"/>
    </row>
    <row r="194">
      <c r="A194" s="14" t="n"/>
      <c r="B194" s="15" t="n"/>
      <c r="C194" s="14" t="n"/>
      <c r="D194" s="14" t="n"/>
      <c r="E194" s="16" t="n"/>
      <c r="F194" s="17" t="n"/>
      <c r="G194" s="16" t="n"/>
      <c r="H194" s="17" t="n"/>
      <c r="I194" s="16">
        <f>IF(G194="","",G194-E194)</f>
        <v/>
      </c>
      <c r="J194" s="14">
        <f>IF(G194="","",IF(ABS(I194)&gt;=Parametros!$B$4,"ATIVA","ESTAVEL"))</f>
        <v/>
      </c>
      <c r="K194" s="15" t="n"/>
      <c r="L194" s="14" t="n"/>
      <c r="M194" s="14" t="n"/>
      <c r="N194" s="14">
        <f>IF(G194="","",IF(M194="Sim","ALTA",IF(AND(OR(K194="Cisalhamento",K194="Recalque diferencial"),J194="ATIVA"),"ALTA",IF(OR(J194="ATIVA",G194&gt;Parametros!$B$5),"MEDIA","BAIXA"))))</f>
        <v/>
      </c>
      <c r="O194" s="15">
        <f>IF(N194="","",IF(N194="ALTA","Escorar/interditar e acionar calculista",IF(N194="MEDIA","Tratar a causa + monitorar","Monitorar e registrar")))</f>
        <v/>
      </c>
      <c r="P194" s="15" t="n"/>
    </row>
    <row r="195">
      <c r="A195" s="10" t="n"/>
      <c r="B195" s="11" t="n"/>
      <c r="C195" s="10" t="n"/>
      <c r="D195" s="10" t="n"/>
      <c r="E195" s="12" t="n"/>
      <c r="F195" s="13" t="n"/>
      <c r="G195" s="12" t="n"/>
      <c r="H195" s="13" t="n"/>
      <c r="I195" s="12">
        <f>IF(G195="","",G195-E195)</f>
        <v/>
      </c>
      <c r="J195" s="10">
        <f>IF(G195="","",IF(ABS(I195)&gt;=Parametros!$B$4,"ATIVA","ESTAVEL"))</f>
        <v/>
      </c>
      <c r="K195" s="11" t="n"/>
      <c r="L195" s="10" t="n"/>
      <c r="M195" s="10" t="n"/>
      <c r="N195" s="10">
        <f>IF(G195="","",IF(M195="Sim","ALTA",IF(AND(OR(K195="Cisalhamento",K195="Recalque diferencial"),J195="ATIVA"),"ALTA",IF(OR(J195="ATIVA",G195&gt;Parametros!$B$5),"MEDIA","BAIXA"))))</f>
        <v/>
      </c>
      <c r="O195" s="11">
        <f>IF(N195="","",IF(N195="ALTA","Escorar/interditar e acionar calculista",IF(N195="MEDIA","Tratar a causa + monitorar","Monitorar e registrar")))</f>
        <v/>
      </c>
      <c r="P195" s="11" t="n"/>
    </row>
    <row r="196">
      <c r="A196" s="14" t="n"/>
      <c r="B196" s="15" t="n"/>
      <c r="C196" s="14" t="n"/>
      <c r="D196" s="14" t="n"/>
      <c r="E196" s="16" t="n"/>
      <c r="F196" s="17" t="n"/>
      <c r="G196" s="16" t="n"/>
      <c r="H196" s="17" t="n"/>
      <c r="I196" s="16">
        <f>IF(G196="","",G196-E196)</f>
        <v/>
      </c>
      <c r="J196" s="14">
        <f>IF(G196="","",IF(ABS(I196)&gt;=Parametros!$B$4,"ATIVA","ESTAVEL"))</f>
        <v/>
      </c>
      <c r="K196" s="15" t="n"/>
      <c r="L196" s="14" t="n"/>
      <c r="M196" s="14" t="n"/>
      <c r="N196" s="14">
        <f>IF(G196="","",IF(M196="Sim","ALTA",IF(AND(OR(K196="Cisalhamento",K196="Recalque diferencial"),J196="ATIVA"),"ALTA",IF(OR(J196="ATIVA",G196&gt;Parametros!$B$5),"MEDIA","BAIXA"))))</f>
        <v/>
      </c>
      <c r="O196" s="15">
        <f>IF(N196="","",IF(N196="ALTA","Escorar/interditar e acionar calculista",IF(N196="MEDIA","Tratar a causa + monitorar","Monitorar e registrar")))</f>
        <v/>
      </c>
      <c r="P196" s="15" t="n"/>
    </row>
    <row r="197">
      <c r="A197" s="10" t="n"/>
      <c r="B197" s="11" t="n"/>
      <c r="C197" s="10" t="n"/>
      <c r="D197" s="10" t="n"/>
      <c r="E197" s="12" t="n"/>
      <c r="F197" s="13" t="n"/>
      <c r="G197" s="12" t="n"/>
      <c r="H197" s="13" t="n"/>
      <c r="I197" s="12">
        <f>IF(G197="","",G197-E197)</f>
        <v/>
      </c>
      <c r="J197" s="10">
        <f>IF(G197="","",IF(ABS(I197)&gt;=Parametros!$B$4,"ATIVA","ESTAVEL"))</f>
        <v/>
      </c>
      <c r="K197" s="11" t="n"/>
      <c r="L197" s="10" t="n"/>
      <c r="M197" s="10" t="n"/>
      <c r="N197" s="10">
        <f>IF(G197="","",IF(M197="Sim","ALTA",IF(AND(OR(K197="Cisalhamento",K197="Recalque diferencial"),J197="ATIVA"),"ALTA",IF(OR(J197="ATIVA",G197&gt;Parametros!$B$5),"MEDIA","BAIXA"))))</f>
        <v/>
      </c>
      <c r="O197" s="11">
        <f>IF(N197="","",IF(N197="ALTA","Escorar/interditar e acionar calculista",IF(N197="MEDIA","Tratar a causa + monitorar","Monitorar e registrar")))</f>
        <v/>
      </c>
      <c r="P197" s="11" t="n"/>
    </row>
    <row r="198">
      <c r="A198" s="14" t="n"/>
      <c r="B198" s="15" t="n"/>
      <c r="C198" s="14" t="n"/>
      <c r="D198" s="14" t="n"/>
      <c r="E198" s="16" t="n"/>
      <c r="F198" s="17" t="n"/>
      <c r="G198" s="16" t="n"/>
      <c r="H198" s="17" t="n"/>
      <c r="I198" s="16">
        <f>IF(G198="","",G198-E198)</f>
        <v/>
      </c>
      <c r="J198" s="14">
        <f>IF(G198="","",IF(ABS(I198)&gt;=Parametros!$B$4,"ATIVA","ESTAVEL"))</f>
        <v/>
      </c>
      <c r="K198" s="15" t="n"/>
      <c r="L198" s="14" t="n"/>
      <c r="M198" s="14" t="n"/>
      <c r="N198" s="14">
        <f>IF(G198="","",IF(M198="Sim","ALTA",IF(AND(OR(K198="Cisalhamento",K198="Recalque diferencial"),J198="ATIVA"),"ALTA",IF(OR(J198="ATIVA",G198&gt;Parametros!$B$5),"MEDIA","BAIXA"))))</f>
        <v/>
      </c>
      <c r="O198" s="15">
        <f>IF(N198="","",IF(N198="ALTA","Escorar/interditar e acionar calculista",IF(N198="MEDIA","Tratar a causa + monitorar","Monitorar e registrar")))</f>
        <v/>
      </c>
      <c r="P198" s="15" t="n"/>
    </row>
    <row r="199">
      <c r="A199" s="10" t="n"/>
      <c r="B199" s="11" t="n"/>
      <c r="C199" s="10" t="n"/>
      <c r="D199" s="10" t="n"/>
      <c r="E199" s="12" t="n"/>
      <c r="F199" s="13" t="n"/>
      <c r="G199" s="12" t="n"/>
      <c r="H199" s="13" t="n"/>
      <c r="I199" s="12">
        <f>IF(G199="","",G199-E199)</f>
        <v/>
      </c>
      <c r="J199" s="10">
        <f>IF(G199="","",IF(ABS(I199)&gt;=Parametros!$B$4,"ATIVA","ESTAVEL"))</f>
        <v/>
      </c>
      <c r="K199" s="11" t="n"/>
      <c r="L199" s="10" t="n"/>
      <c r="M199" s="10" t="n"/>
      <c r="N199" s="10">
        <f>IF(G199="","",IF(M199="Sim","ALTA",IF(AND(OR(K199="Cisalhamento",K199="Recalque diferencial"),J199="ATIVA"),"ALTA",IF(OR(J199="ATIVA",G199&gt;Parametros!$B$5),"MEDIA","BAIXA"))))</f>
        <v/>
      </c>
      <c r="O199" s="11">
        <f>IF(N199="","",IF(N199="ALTA","Escorar/interditar e acionar calculista",IF(N199="MEDIA","Tratar a causa + monitorar","Monitorar e registrar")))</f>
        <v/>
      </c>
      <c r="P199" s="11" t="n"/>
    </row>
    <row r="200">
      <c r="A200" s="14" t="n"/>
      <c r="B200" s="15" t="n"/>
      <c r="C200" s="14" t="n"/>
      <c r="D200" s="14" t="n"/>
      <c r="E200" s="16" t="n"/>
      <c r="F200" s="17" t="n"/>
      <c r="G200" s="16" t="n"/>
      <c r="H200" s="17" t="n"/>
      <c r="I200" s="16">
        <f>IF(G200="","",G200-E200)</f>
        <v/>
      </c>
      <c r="J200" s="14">
        <f>IF(G200="","",IF(ABS(I200)&gt;=Parametros!$B$4,"ATIVA","ESTAVEL"))</f>
        <v/>
      </c>
      <c r="K200" s="15" t="n"/>
      <c r="L200" s="14" t="n"/>
      <c r="M200" s="14" t="n"/>
      <c r="N200" s="14">
        <f>IF(G200="","",IF(M200="Sim","ALTA",IF(AND(OR(K200="Cisalhamento",K200="Recalque diferencial"),J200="ATIVA"),"ALTA",IF(OR(J200="ATIVA",G200&gt;Parametros!$B$5),"MEDIA","BAIXA"))))</f>
        <v/>
      </c>
      <c r="O200" s="15">
        <f>IF(N200="","",IF(N200="ALTA","Escorar/interditar e acionar calculista",IF(N200="MEDIA","Tratar a causa + monitorar","Monitorar e registrar")))</f>
        <v/>
      </c>
      <c r="P200" s="15" t="n"/>
    </row>
    <row r="201">
      <c r="A201" s="10" t="n"/>
      <c r="B201" s="11" t="n"/>
      <c r="C201" s="10" t="n"/>
      <c r="D201" s="10" t="n"/>
      <c r="E201" s="12" t="n"/>
      <c r="F201" s="13" t="n"/>
      <c r="G201" s="12" t="n"/>
      <c r="H201" s="13" t="n"/>
      <c r="I201" s="12">
        <f>IF(G201="","",G201-E201)</f>
        <v/>
      </c>
      <c r="J201" s="10">
        <f>IF(G201="","",IF(ABS(I201)&gt;=Parametros!$B$4,"ATIVA","ESTAVEL"))</f>
        <v/>
      </c>
      <c r="K201" s="11" t="n"/>
      <c r="L201" s="10" t="n"/>
      <c r="M201" s="10" t="n"/>
      <c r="N201" s="10">
        <f>IF(G201="","",IF(M201="Sim","ALTA",IF(AND(OR(K201="Cisalhamento",K201="Recalque diferencial"),J201="ATIVA"),"ALTA",IF(OR(J201="ATIVA",G201&gt;Parametros!$B$5),"MEDIA","BAIXA"))))</f>
        <v/>
      </c>
      <c r="O201" s="11">
        <f>IF(N201="","",IF(N201="ALTA","Escorar/interditar e acionar calculista",IF(N201="MEDIA","Tratar a causa + monitorar","Monitorar e registrar")))</f>
        <v/>
      </c>
      <c r="P201" s="11" t="n"/>
    </row>
    <row r="202">
      <c r="A202" s="14" t="n"/>
      <c r="B202" s="15" t="n"/>
      <c r="C202" s="14" t="n"/>
      <c r="D202" s="14" t="n"/>
      <c r="E202" s="16" t="n"/>
      <c r="F202" s="17" t="n"/>
      <c r="G202" s="16" t="n"/>
      <c r="H202" s="17" t="n"/>
      <c r="I202" s="16">
        <f>IF(G202="","",G202-E202)</f>
        <v/>
      </c>
      <c r="J202" s="14">
        <f>IF(G202="","",IF(ABS(I202)&gt;=Parametros!$B$4,"ATIVA","ESTAVEL"))</f>
        <v/>
      </c>
      <c r="K202" s="15" t="n"/>
      <c r="L202" s="14" t="n"/>
      <c r="M202" s="14" t="n"/>
      <c r="N202" s="14">
        <f>IF(G202="","",IF(M202="Sim","ALTA",IF(AND(OR(K202="Cisalhamento",K202="Recalque diferencial"),J202="ATIVA"),"ALTA",IF(OR(J202="ATIVA",G202&gt;Parametros!$B$5),"MEDIA","BAIXA"))))</f>
        <v/>
      </c>
      <c r="O202" s="15">
        <f>IF(N202="","",IF(N202="ALTA","Escorar/interditar e acionar calculista",IF(N202="MEDIA","Tratar a causa + monitorar","Monitorar e registrar")))</f>
        <v/>
      </c>
      <c r="P202" s="15" t="n"/>
    </row>
  </sheetData>
  <mergeCells count="1">
    <mergeCell ref="A1:P1"/>
  </mergeCells>
  <conditionalFormatting sqref="N3:N202">
    <cfRule type="cellIs" priority="1" operator="equal" dxfId="0">
      <formula>"ALTA"</formula>
    </cfRule>
    <cfRule type="cellIs" priority="2" operator="equal" dxfId="1">
      <formula>"MEDIA"</formula>
    </cfRule>
    <cfRule type="cellIs" priority="3" operator="equal" dxfId="2">
      <formula>"BAIXA"</formula>
    </cfRule>
  </conditionalFormatting>
  <conditionalFormatting sqref="J3:J202">
    <cfRule type="cellIs" priority="4" operator="equal" dxfId="1">
      <formula>"ATIVA"</formula>
    </cfRule>
  </conditionalFormatting>
  <dataValidations count="5">
    <dataValidation sqref="C3:C202" showDropDown="0" showInputMessage="1" showErrorMessage="0" allowBlank="1" errorTitle="Valor inválido" error="Escolha um valor da lista." prompt="Selecione uma opção" type="list">
      <formula1>"Vertical,Horizontal,Diagonal 45,Mapeada"</formula1>
    </dataValidation>
    <dataValidation sqref="D3:D202" showDropDown="0" showInputMessage="1" showErrorMessage="0" allowBlank="1" errorTitle="Valor inválido" error="Escolha um valor da lista." prompt="Selecione uma opção" type="list">
      <formula1>"Meio do vao,Apoio da viga,Canto de abertura,Base da parede,Topo da parede,Pilar,Laje,Muro"</formula1>
    </dataValidation>
    <dataValidation sqref="K3:K202" showDropDown="0" showInputMessage="1" showErrorMessage="0" allowBlank="1" errorTitle="Valor inválido" error="Escolha um valor da lista." prompt="Selecione uma opção" type="list">
      <formula1>"Flexao,Cisalhamento,Recalque diferencial,Retracao,Expansao alvenaria,Umidade,Concentracao de tensao (canto)"</formula1>
    </dataValidation>
    <dataValidation sqref="L3:L202" showDropDown="0" showInputMessage="1" showErrorMessage="0" allowBlank="1" errorTitle="Valor inválido" error="Escolha um valor da lista." prompt="Selecione uma opção" type="list">
      <formula1>"Sim,Nao"</formula1>
    </dataValidation>
    <dataValidation sqref="M3:M202" showDropDown="0" showInputMessage="1" showErrorMessage="0" allowBlank="1" errorTitle="Valor inválido" error="Escolha um valor da lista." prompt="Selecione uma opção" type="list">
      <formula1>"Sim,Nao"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4" customWidth="1" min="4" max="4"/>
    <col width="12" customWidth="1" min="5" max="5"/>
    <col width="12" customWidth="1" min="6" max="6"/>
  </cols>
  <sheetData>
    <row r="1" ht="28" customHeight="1">
      <c r="A1" s="1" t="inlineStr">
        <is>
          <t>DASHBOARD — Painel de Monitoramento de Fissuras</t>
        </is>
      </c>
    </row>
    <row r="3">
      <c r="A3" s="18" t="inlineStr">
        <is>
          <t>Total de fissuras</t>
        </is>
      </c>
      <c r="B3" s="18" t="inlineStr">
        <is>
          <t>Ativas</t>
        </is>
      </c>
      <c r="C3" s="18" t="inlineStr">
        <is>
          <t>Estáveis</t>
        </is>
      </c>
    </row>
    <row r="4">
      <c r="A4" s="19">
        <f>COUNT(Lancamentos!A3:A202)</f>
        <v/>
      </c>
      <c r="B4" s="19">
        <f>COUNTIF(Lancamentos!J3:J202,"ATIVA")</f>
        <v/>
      </c>
      <c r="C4" s="19">
        <f>COUNTIF(Lancamentos!J3:J202,"ESTAVEL")</f>
        <v/>
      </c>
    </row>
    <row r="7">
      <c r="A7" s="7" t="inlineStr">
        <is>
          <t>Gravidade</t>
        </is>
      </c>
      <c r="B7" s="7" t="inlineStr">
        <is>
          <t>Quantidade</t>
        </is>
      </c>
    </row>
    <row r="8">
      <c r="A8" s="20" t="inlineStr">
        <is>
          <t>ALTA</t>
        </is>
      </c>
      <c r="B8" s="10">
        <f>COUNTIF(Lancamentos!N3:N202,"ALTA")</f>
        <v/>
      </c>
    </row>
    <row r="9">
      <c r="A9" s="21" t="inlineStr">
        <is>
          <t>MEDIA</t>
        </is>
      </c>
      <c r="B9" s="10">
        <f>COUNTIF(Lancamentos!N3:N202,"MEDIA")</f>
        <v/>
      </c>
    </row>
    <row r="10">
      <c r="A10" s="22" t="inlineStr">
        <is>
          <t>BAIXA</t>
        </is>
      </c>
      <c r="B10" s="10">
        <f>COUNTIF(Lancamentos!N3:N202,"BAIXA")</f>
        <v/>
      </c>
    </row>
    <row r="12">
      <c r="A12" s="7" t="inlineStr">
        <is>
          <t>Alerta</t>
        </is>
      </c>
      <c r="B12" s="23">
        <f>IF(B8&gt;0,"HA FISSURAS DE GRAVIDADE ALTA - priorize o fluxograma de emergencia e comunique por escrito",IF(B9&gt;0,"Atencao: fissuras de gravidade media em monitoramento","Sem gravidade alta/media no momento"))</f>
        <v/>
      </c>
    </row>
    <row r="15">
      <c r="A15" s="24" t="inlineStr">
        <is>
          <t>Como usar: preencha a aba Lancamentos (uma linha por fissura). Situacao, Gravidade e Encaminhamento sao calculados automaticamente a partir dos Parametros. Ajuste os limiares na aba Parametros e assine.</t>
        </is>
      </c>
    </row>
    <row r="16"/>
    <row r="18">
      <c r="A18" s="25" t="inlineStr">
        <is>
          <t>Revisado e assinado por Gustavo Domingos — Engenheiro Civil, CREA-PR 140.964-D</t>
        </is>
      </c>
    </row>
  </sheetData>
  <mergeCells count="3">
    <mergeCell ref="B12:F12"/>
    <mergeCell ref="A1:F1"/>
    <mergeCell ref="A15:F16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2026-07-17T18:50:55Z</dcterms:created>
  <dcterms:modified xmlns:dcterms="http://purl.org/dc/terms/" xmlns:xsi="http://www.w3.org/2001/XMLSchema-instance" xsi:type="dcterms:W3CDTF">2026-07-17T18:50:55Z</dcterms:modified>
</cp:coreProperties>
</file>