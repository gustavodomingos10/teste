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ao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Georgia"/>
      <b val="1"/>
      <color rgb="00F5EFE0"/>
      <sz val="15"/>
    </font>
    <font>
      <name val="Calibri"/>
      <b val="1"/>
      <color rgb="00F5EFE0"/>
      <sz val="10"/>
    </font>
    <font>
      <name val="Calibri"/>
      <color rgb="0020211E"/>
      <sz val="10"/>
    </font>
    <font>
      <name val="Calibri"/>
      <b val="1"/>
      <color rgb="000E3A34"/>
      <sz val="10"/>
    </font>
    <font>
      <name val="Georgia"/>
      <b val="1"/>
      <color rgb="000E3A34"/>
      <sz val="18"/>
    </font>
    <font>
      <name val="Calibri"/>
      <b val="1"/>
      <color rgb="000E3A34"/>
      <sz val="12"/>
    </font>
    <font>
      <name val="Calibri"/>
      <i val="1"/>
      <color rgb="006B6B63"/>
      <sz val="8.5"/>
    </font>
    <font>
      <name val="Calibri"/>
      <b val="1"/>
      <color rgb="00C9A24B"/>
      <sz val="9"/>
    </font>
  </fonts>
  <fills count="9">
    <fill>
      <patternFill/>
    </fill>
    <fill>
      <patternFill patternType="gray125"/>
    </fill>
    <fill>
      <patternFill patternType="solid">
        <fgColor rgb="000E3A34"/>
      </patternFill>
    </fill>
    <fill>
      <patternFill patternType="solid">
        <fgColor rgb="00FBF8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1C5A4E"/>
      </patternFill>
    </fill>
  </fills>
  <borders count="2">
    <border>
      <left/>
      <right/>
      <top/>
      <bottom/>
      <diagonal/>
    </border>
    <border>
      <left style="thin">
        <color rgb="00D9D2BE"/>
      </left>
      <right style="thin">
        <color rgb="00D9D2BE"/>
      </right>
      <top style="thin">
        <color rgb="00D9D2BE"/>
      </top>
      <bottom style="thin">
        <color rgb="00D9D2B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dxfs count="4">
    <dxf>
      <font>
        <b val="1"/>
        <color rgb="001b4d1f"/>
      </font>
      <fill>
        <patternFill patternType="solid">
          <fgColor rgb="00D9EAD3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7f1d1d"/>
      </font>
      <fill>
        <patternFill patternType="solid">
          <fgColor rgb="00F4CCCC"/>
        </patternFill>
      </fill>
    </dxf>
    <dxf>
      <font>
        <b val="1"/>
        <color rgb="000b3d66"/>
      </font>
      <fill>
        <patternFill patternType="solid">
          <fgColor rgb="00CF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26" customWidth="1" min="4" max="4"/>
    <col width="13" customWidth="1" min="5" max="5"/>
    <col width="12" customWidth="1" min="6" max="6"/>
    <col width="11" customWidth="1" min="7" max="7"/>
    <col width="16" customWidth="1" min="8" max="8"/>
    <col width="24" customWidth="1" min="9" max="9"/>
  </cols>
  <sheetData>
    <row r="1" ht="24" customHeight="1">
      <c r="A1" s="1" t="inlineStr">
        <is>
          <t>INSPEÇÃO DE SERVIÇOS CRÍTICOS — uma linha por item verificado (NBR 14931 · 6118 · 15696 · 8545)</t>
        </is>
      </c>
    </row>
    <row r="2" ht="28" customHeight="1">
      <c r="A2" s="2" t="inlineStr">
        <is>
          <t>Data</t>
        </is>
      </c>
      <c r="B2" s="2" t="inlineStr">
        <is>
          <t>Serviço</t>
        </is>
      </c>
      <c r="C2" s="2" t="inlineStr">
        <is>
          <t>Elemento / Local</t>
        </is>
      </c>
      <c r="D2" s="2" t="inlineStr">
        <is>
          <t>Item verificado</t>
        </is>
      </c>
      <c r="E2" s="2" t="inlineStr">
        <is>
          <t>Resultado</t>
        </is>
      </c>
      <c r="F2" s="2" t="inlineStr">
        <is>
          <t>Prazo correção</t>
        </is>
      </c>
      <c r="G2" s="2" t="inlineStr">
        <is>
          <t>Reconferido?</t>
        </is>
      </c>
      <c r="H2" s="2" t="inlineStr">
        <is>
          <t>Situação</t>
        </is>
      </c>
      <c r="I2" s="2" t="inlineStr">
        <is>
          <t>Observações / foto</t>
        </is>
      </c>
    </row>
    <row r="3">
      <c r="A3" s="3" t="n"/>
      <c r="B3" s="4" t="n"/>
      <c r="C3" s="5" t="n"/>
      <c r="D3" s="5" t="n"/>
      <c r="E3" s="4" t="n"/>
      <c r="F3" s="4" t="n"/>
      <c r="G3" s="4" t="n"/>
      <c r="H3" s="4">
        <f>IF(E3="","",IF(E3="Conforme","OK",IF(G3="Sim","RESOLVIDA",IF(E3="NC critica","NC CRITICA ABERTA","PENDENTE"))))</f>
        <v/>
      </c>
      <c r="I3" s="5" t="n"/>
    </row>
    <row r="4">
      <c r="A4" s="6" t="n"/>
      <c r="B4" s="7" t="n"/>
      <c r="C4" s="8" t="n"/>
      <c r="D4" s="8" t="n"/>
      <c r="E4" s="7" t="n"/>
      <c r="F4" s="7" t="n"/>
      <c r="G4" s="7" t="n"/>
      <c r="H4" s="7">
        <f>IF(E4="","",IF(E4="Conforme","OK",IF(G4="Sim","RESOLVIDA",IF(E4="NC critica","NC CRITICA ABERTA","PENDENTE"))))</f>
        <v/>
      </c>
      <c r="I4" s="8" t="n"/>
    </row>
    <row r="5">
      <c r="A5" s="3" t="n"/>
      <c r="B5" s="4" t="n"/>
      <c r="C5" s="5" t="n"/>
      <c r="D5" s="5" t="n"/>
      <c r="E5" s="4" t="n"/>
      <c r="F5" s="4" t="n"/>
      <c r="G5" s="4" t="n"/>
      <c r="H5" s="4">
        <f>IF(E5="","",IF(E5="Conforme","OK",IF(G5="Sim","RESOLVIDA",IF(E5="NC critica","NC CRITICA ABERTA","PENDENTE"))))</f>
        <v/>
      </c>
      <c r="I5" s="5" t="n"/>
    </row>
    <row r="6">
      <c r="A6" s="6" t="n"/>
      <c r="B6" s="7" t="n"/>
      <c r="C6" s="8" t="n"/>
      <c r="D6" s="8" t="n"/>
      <c r="E6" s="7" t="n"/>
      <c r="F6" s="7" t="n"/>
      <c r="G6" s="7" t="n"/>
      <c r="H6" s="7">
        <f>IF(E6="","",IF(E6="Conforme","OK",IF(G6="Sim","RESOLVIDA",IF(E6="NC critica","NC CRITICA ABERTA","PENDENTE"))))</f>
        <v/>
      </c>
      <c r="I6" s="8" t="n"/>
    </row>
    <row r="7">
      <c r="A7" s="3" t="n"/>
      <c r="B7" s="4" t="n"/>
      <c r="C7" s="5" t="n"/>
      <c r="D7" s="5" t="n"/>
      <c r="E7" s="4" t="n"/>
      <c r="F7" s="4" t="n"/>
      <c r="G7" s="4" t="n"/>
      <c r="H7" s="4">
        <f>IF(E7="","",IF(E7="Conforme","OK",IF(G7="Sim","RESOLVIDA",IF(E7="NC critica","NC CRITICA ABERTA","PENDENTE"))))</f>
        <v/>
      </c>
      <c r="I7" s="5" t="n"/>
    </row>
    <row r="8">
      <c r="A8" s="6" t="n"/>
      <c r="B8" s="7" t="n"/>
      <c r="C8" s="8" t="n"/>
      <c r="D8" s="8" t="n"/>
      <c r="E8" s="7" t="n"/>
      <c r="F8" s="7" t="n"/>
      <c r="G8" s="7" t="n"/>
      <c r="H8" s="7">
        <f>IF(E8="","",IF(E8="Conforme","OK",IF(G8="Sim","RESOLVIDA",IF(E8="NC critica","NC CRITICA ABERTA","PENDENTE"))))</f>
        <v/>
      </c>
      <c r="I8" s="8" t="n"/>
    </row>
    <row r="9">
      <c r="A9" s="3" t="n"/>
      <c r="B9" s="4" t="n"/>
      <c r="C9" s="5" t="n"/>
      <c r="D9" s="5" t="n"/>
      <c r="E9" s="4" t="n"/>
      <c r="F9" s="4" t="n"/>
      <c r="G9" s="4" t="n"/>
      <c r="H9" s="4">
        <f>IF(E9="","",IF(E9="Conforme","OK",IF(G9="Sim","RESOLVIDA",IF(E9="NC critica","NC CRITICA ABERTA","PENDENTE"))))</f>
        <v/>
      </c>
      <c r="I9" s="5" t="n"/>
    </row>
    <row r="10">
      <c r="A10" s="6" t="n"/>
      <c r="B10" s="7" t="n"/>
      <c r="C10" s="8" t="n"/>
      <c r="D10" s="8" t="n"/>
      <c r="E10" s="7" t="n"/>
      <c r="F10" s="7" t="n"/>
      <c r="G10" s="7" t="n"/>
      <c r="H10" s="7">
        <f>IF(E10="","",IF(E10="Conforme","OK",IF(G10="Sim","RESOLVIDA",IF(E10="NC critica","NC CRITICA ABERTA","PENDENTE"))))</f>
        <v/>
      </c>
      <c r="I10" s="8" t="n"/>
    </row>
    <row r="11">
      <c r="A11" s="3" t="n"/>
      <c r="B11" s="4" t="n"/>
      <c r="C11" s="5" t="n"/>
      <c r="D11" s="5" t="n"/>
      <c r="E11" s="4" t="n"/>
      <c r="F11" s="4" t="n"/>
      <c r="G11" s="4" t="n"/>
      <c r="H11" s="4">
        <f>IF(E11="","",IF(E11="Conforme","OK",IF(G11="Sim","RESOLVIDA",IF(E11="NC critica","NC CRITICA ABERTA","PENDENTE"))))</f>
        <v/>
      </c>
      <c r="I11" s="5" t="n"/>
    </row>
    <row r="12">
      <c r="A12" s="6" t="n"/>
      <c r="B12" s="7" t="n"/>
      <c r="C12" s="8" t="n"/>
      <c r="D12" s="8" t="n"/>
      <c r="E12" s="7" t="n"/>
      <c r="F12" s="7" t="n"/>
      <c r="G12" s="7" t="n"/>
      <c r="H12" s="7">
        <f>IF(E12="","",IF(E12="Conforme","OK",IF(G12="Sim","RESOLVIDA",IF(E12="NC critica","NC CRITICA ABERTA","PENDENTE"))))</f>
        <v/>
      </c>
      <c r="I12" s="8" t="n"/>
    </row>
    <row r="13">
      <c r="A13" s="3" t="n"/>
      <c r="B13" s="4" t="n"/>
      <c r="C13" s="5" t="n"/>
      <c r="D13" s="5" t="n"/>
      <c r="E13" s="4" t="n"/>
      <c r="F13" s="4" t="n"/>
      <c r="G13" s="4" t="n"/>
      <c r="H13" s="4">
        <f>IF(E13="","",IF(E13="Conforme","OK",IF(G13="Sim","RESOLVIDA",IF(E13="NC critica","NC CRITICA ABERTA","PENDENTE"))))</f>
        <v/>
      </c>
      <c r="I13" s="5" t="n"/>
    </row>
    <row r="14">
      <c r="A14" s="6" t="n"/>
      <c r="B14" s="7" t="n"/>
      <c r="C14" s="8" t="n"/>
      <c r="D14" s="8" t="n"/>
      <c r="E14" s="7" t="n"/>
      <c r="F14" s="7" t="n"/>
      <c r="G14" s="7" t="n"/>
      <c r="H14" s="7">
        <f>IF(E14="","",IF(E14="Conforme","OK",IF(G14="Sim","RESOLVIDA",IF(E14="NC critica","NC CRITICA ABERTA","PENDENTE"))))</f>
        <v/>
      </c>
      <c r="I14" s="8" t="n"/>
    </row>
    <row r="15">
      <c r="A15" s="3" t="n"/>
      <c r="B15" s="4" t="n"/>
      <c r="C15" s="5" t="n"/>
      <c r="D15" s="5" t="n"/>
      <c r="E15" s="4" t="n"/>
      <c r="F15" s="4" t="n"/>
      <c r="G15" s="4" t="n"/>
      <c r="H15" s="4">
        <f>IF(E15="","",IF(E15="Conforme","OK",IF(G15="Sim","RESOLVIDA",IF(E15="NC critica","NC CRITICA ABERTA","PENDENTE"))))</f>
        <v/>
      </c>
      <c r="I15" s="5" t="n"/>
    </row>
    <row r="16">
      <c r="A16" s="6" t="n"/>
      <c r="B16" s="7" t="n"/>
      <c r="C16" s="8" t="n"/>
      <c r="D16" s="8" t="n"/>
      <c r="E16" s="7" t="n"/>
      <c r="F16" s="7" t="n"/>
      <c r="G16" s="7" t="n"/>
      <c r="H16" s="7">
        <f>IF(E16="","",IF(E16="Conforme","OK",IF(G16="Sim","RESOLVIDA",IF(E16="NC critica","NC CRITICA ABERTA","PENDENTE"))))</f>
        <v/>
      </c>
      <c r="I16" s="8" t="n"/>
    </row>
    <row r="17">
      <c r="A17" s="3" t="n"/>
      <c r="B17" s="4" t="n"/>
      <c r="C17" s="5" t="n"/>
      <c r="D17" s="5" t="n"/>
      <c r="E17" s="4" t="n"/>
      <c r="F17" s="4" t="n"/>
      <c r="G17" s="4" t="n"/>
      <c r="H17" s="4">
        <f>IF(E17="","",IF(E17="Conforme","OK",IF(G17="Sim","RESOLVIDA",IF(E17="NC critica","NC CRITICA ABERTA","PENDENTE"))))</f>
        <v/>
      </c>
      <c r="I17" s="5" t="n"/>
    </row>
    <row r="18">
      <c r="A18" s="6" t="n"/>
      <c r="B18" s="7" t="n"/>
      <c r="C18" s="8" t="n"/>
      <c r="D18" s="8" t="n"/>
      <c r="E18" s="7" t="n"/>
      <c r="F18" s="7" t="n"/>
      <c r="G18" s="7" t="n"/>
      <c r="H18" s="7">
        <f>IF(E18="","",IF(E18="Conforme","OK",IF(G18="Sim","RESOLVIDA",IF(E18="NC critica","NC CRITICA ABERTA","PENDENTE"))))</f>
        <v/>
      </c>
      <c r="I18" s="8" t="n"/>
    </row>
    <row r="19">
      <c r="A19" s="3" t="n"/>
      <c r="B19" s="4" t="n"/>
      <c r="C19" s="5" t="n"/>
      <c r="D19" s="5" t="n"/>
      <c r="E19" s="4" t="n"/>
      <c r="F19" s="4" t="n"/>
      <c r="G19" s="4" t="n"/>
      <c r="H19" s="4">
        <f>IF(E19="","",IF(E19="Conforme","OK",IF(G19="Sim","RESOLVIDA",IF(E19="NC critica","NC CRITICA ABERTA","PENDENTE"))))</f>
        <v/>
      </c>
      <c r="I19" s="5" t="n"/>
    </row>
    <row r="20">
      <c r="A20" s="6" t="n"/>
      <c r="B20" s="7" t="n"/>
      <c r="C20" s="8" t="n"/>
      <c r="D20" s="8" t="n"/>
      <c r="E20" s="7" t="n"/>
      <c r="F20" s="7" t="n"/>
      <c r="G20" s="7" t="n"/>
      <c r="H20" s="7">
        <f>IF(E20="","",IF(E20="Conforme","OK",IF(G20="Sim","RESOLVIDA",IF(E20="NC critica","NC CRITICA ABERTA","PENDENTE"))))</f>
        <v/>
      </c>
      <c r="I20" s="8" t="n"/>
    </row>
    <row r="21">
      <c r="A21" s="3" t="n"/>
      <c r="B21" s="4" t="n"/>
      <c r="C21" s="5" t="n"/>
      <c r="D21" s="5" t="n"/>
      <c r="E21" s="4" t="n"/>
      <c r="F21" s="4" t="n"/>
      <c r="G21" s="4" t="n"/>
      <c r="H21" s="4">
        <f>IF(E21="","",IF(E21="Conforme","OK",IF(G21="Sim","RESOLVIDA",IF(E21="NC critica","NC CRITICA ABERTA","PENDENTE"))))</f>
        <v/>
      </c>
      <c r="I21" s="5" t="n"/>
    </row>
    <row r="22">
      <c r="A22" s="6" t="n"/>
      <c r="B22" s="7" t="n"/>
      <c r="C22" s="8" t="n"/>
      <c r="D22" s="8" t="n"/>
      <c r="E22" s="7" t="n"/>
      <c r="F22" s="7" t="n"/>
      <c r="G22" s="7" t="n"/>
      <c r="H22" s="7">
        <f>IF(E22="","",IF(E22="Conforme","OK",IF(G22="Sim","RESOLVIDA",IF(E22="NC critica","NC CRITICA ABERTA","PENDENTE"))))</f>
        <v/>
      </c>
      <c r="I22" s="8" t="n"/>
    </row>
    <row r="23">
      <c r="A23" s="3" t="n"/>
      <c r="B23" s="4" t="n"/>
      <c r="C23" s="5" t="n"/>
      <c r="D23" s="5" t="n"/>
      <c r="E23" s="4" t="n"/>
      <c r="F23" s="4" t="n"/>
      <c r="G23" s="4" t="n"/>
      <c r="H23" s="4">
        <f>IF(E23="","",IF(E23="Conforme","OK",IF(G23="Sim","RESOLVIDA",IF(E23="NC critica","NC CRITICA ABERTA","PENDENTE"))))</f>
        <v/>
      </c>
      <c r="I23" s="5" t="n"/>
    </row>
    <row r="24">
      <c r="A24" s="6" t="n"/>
      <c r="B24" s="7" t="n"/>
      <c r="C24" s="8" t="n"/>
      <c r="D24" s="8" t="n"/>
      <c r="E24" s="7" t="n"/>
      <c r="F24" s="7" t="n"/>
      <c r="G24" s="7" t="n"/>
      <c r="H24" s="7">
        <f>IF(E24="","",IF(E24="Conforme","OK",IF(G24="Sim","RESOLVIDA",IF(E24="NC critica","NC CRITICA ABERTA","PENDENTE"))))</f>
        <v/>
      </c>
      <c r="I24" s="8" t="n"/>
    </row>
    <row r="25">
      <c r="A25" s="3" t="n"/>
      <c r="B25" s="4" t="n"/>
      <c r="C25" s="5" t="n"/>
      <c r="D25" s="5" t="n"/>
      <c r="E25" s="4" t="n"/>
      <c r="F25" s="4" t="n"/>
      <c r="G25" s="4" t="n"/>
      <c r="H25" s="4">
        <f>IF(E25="","",IF(E25="Conforme","OK",IF(G25="Sim","RESOLVIDA",IF(E25="NC critica","NC CRITICA ABERTA","PENDENTE"))))</f>
        <v/>
      </c>
      <c r="I25" s="5" t="n"/>
    </row>
    <row r="26">
      <c r="A26" s="6" t="n"/>
      <c r="B26" s="7" t="n"/>
      <c r="C26" s="8" t="n"/>
      <c r="D26" s="8" t="n"/>
      <c r="E26" s="7" t="n"/>
      <c r="F26" s="7" t="n"/>
      <c r="G26" s="7" t="n"/>
      <c r="H26" s="7">
        <f>IF(E26="","",IF(E26="Conforme","OK",IF(G26="Sim","RESOLVIDA",IF(E26="NC critica","NC CRITICA ABERTA","PENDENTE"))))</f>
        <v/>
      </c>
      <c r="I26" s="8" t="n"/>
    </row>
    <row r="27">
      <c r="A27" s="3" t="n"/>
      <c r="B27" s="4" t="n"/>
      <c r="C27" s="5" t="n"/>
      <c r="D27" s="5" t="n"/>
      <c r="E27" s="4" t="n"/>
      <c r="F27" s="4" t="n"/>
      <c r="G27" s="4" t="n"/>
      <c r="H27" s="4">
        <f>IF(E27="","",IF(E27="Conforme","OK",IF(G27="Sim","RESOLVIDA",IF(E27="NC critica","NC CRITICA ABERTA","PENDENTE"))))</f>
        <v/>
      </c>
      <c r="I27" s="5" t="n"/>
    </row>
    <row r="28">
      <c r="A28" s="6" t="n"/>
      <c r="B28" s="7" t="n"/>
      <c r="C28" s="8" t="n"/>
      <c r="D28" s="8" t="n"/>
      <c r="E28" s="7" t="n"/>
      <c r="F28" s="7" t="n"/>
      <c r="G28" s="7" t="n"/>
      <c r="H28" s="7">
        <f>IF(E28="","",IF(E28="Conforme","OK",IF(G28="Sim","RESOLVIDA",IF(E28="NC critica","NC CRITICA ABERTA","PENDENTE"))))</f>
        <v/>
      </c>
      <c r="I28" s="8" t="n"/>
    </row>
    <row r="29">
      <c r="A29" s="3" t="n"/>
      <c r="B29" s="4" t="n"/>
      <c r="C29" s="5" t="n"/>
      <c r="D29" s="5" t="n"/>
      <c r="E29" s="4" t="n"/>
      <c r="F29" s="4" t="n"/>
      <c r="G29" s="4" t="n"/>
      <c r="H29" s="4">
        <f>IF(E29="","",IF(E29="Conforme","OK",IF(G29="Sim","RESOLVIDA",IF(E29="NC critica","NC CRITICA ABERTA","PENDENTE"))))</f>
        <v/>
      </c>
      <c r="I29" s="5" t="n"/>
    </row>
    <row r="30">
      <c r="A30" s="6" t="n"/>
      <c r="B30" s="7" t="n"/>
      <c r="C30" s="8" t="n"/>
      <c r="D30" s="8" t="n"/>
      <c r="E30" s="7" t="n"/>
      <c r="F30" s="7" t="n"/>
      <c r="G30" s="7" t="n"/>
      <c r="H30" s="7">
        <f>IF(E30="","",IF(E30="Conforme","OK",IF(G30="Sim","RESOLVIDA",IF(E30="NC critica","NC CRITICA ABERTA","PENDENTE"))))</f>
        <v/>
      </c>
      <c r="I30" s="8" t="n"/>
    </row>
    <row r="31">
      <c r="A31" s="3" t="n"/>
      <c r="B31" s="4" t="n"/>
      <c r="C31" s="5" t="n"/>
      <c r="D31" s="5" t="n"/>
      <c r="E31" s="4" t="n"/>
      <c r="F31" s="4" t="n"/>
      <c r="G31" s="4" t="n"/>
      <c r="H31" s="4">
        <f>IF(E31="","",IF(E31="Conforme","OK",IF(G31="Sim","RESOLVIDA",IF(E31="NC critica","NC CRITICA ABERTA","PENDENTE"))))</f>
        <v/>
      </c>
      <c r="I31" s="5" t="n"/>
    </row>
    <row r="32">
      <c r="A32" s="6" t="n"/>
      <c r="B32" s="7" t="n"/>
      <c r="C32" s="8" t="n"/>
      <c r="D32" s="8" t="n"/>
      <c r="E32" s="7" t="n"/>
      <c r="F32" s="7" t="n"/>
      <c r="G32" s="7" t="n"/>
      <c r="H32" s="7">
        <f>IF(E32="","",IF(E32="Conforme","OK",IF(G32="Sim","RESOLVIDA",IF(E32="NC critica","NC CRITICA ABERTA","PENDENTE"))))</f>
        <v/>
      </c>
      <c r="I32" s="8" t="n"/>
    </row>
    <row r="33">
      <c r="A33" s="3" t="n"/>
      <c r="B33" s="4" t="n"/>
      <c r="C33" s="5" t="n"/>
      <c r="D33" s="5" t="n"/>
      <c r="E33" s="4" t="n"/>
      <c r="F33" s="4" t="n"/>
      <c r="G33" s="4" t="n"/>
      <c r="H33" s="4">
        <f>IF(E33="","",IF(E33="Conforme","OK",IF(G33="Sim","RESOLVIDA",IF(E33="NC critica","NC CRITICA ABERTA","PENDENTE"))))</f>
        <v/>
      </c>
      <c r="I33" s="5" t="n"/>
    </row>
    <row r="34">
      <c r="A34" s="6" t="n"/>
      <c r="B34" s="7" t="n"/>
      <c r="C34" s="8" t="n"/>
      <c r="D34" s="8" t="n"/>
      <c r="E34" s="7" t="n"/>
      <c r="F34" s="7" t="n"/>
      <c r="G34" s="7" t="n"/>
      <c r="H34" s="7">
        <f>IF(E34="","",IF(E34="Conforme","OK",IF(G34="Sim","RESOLVIDA",IF(E34="NC critica","NC CRITICA ABERTA","PENDENTE"))))</f>
        <v/>
      </c>
      <c r="I34" s="8" t="n"/>
    </row>
    <row r="35">
      <c r="A35" s="3" t="n"/>
      <c r="B35" s="4" t="n"/>
      <c r="C35" s="5" t="n"/>
      <c r="D35" s="5" t="n"/>
      <c r="E35" s="4" t="n"/>
      <c r="F35" s="4" t="n"/>
      <c r="G35" s="4" t="n"/>
      <c r="H35" s="4">
        <f>IF(E35="","",IF(E35="Conforme","OK",IF(G35="Sim","RESOLVIDA",IF(E35="NC critica","NC CRITICA ABERTA","PENDENTE"))))</f>
        <v/>
      </c>
      <c r="I35" s="5" t="n"/>
    </row>
    <row r="36">
      <c r="A36" s="6" t="n"/>
      <c r="B36" s="7" t="n"/>
      <c r="C36" s="8" t="n"/>
      <c r="D36" s="8" t="n"/>
      <c r="E36" s="7" t="n"/>
      <c r="F36" s="7" t="n"/>
      <c r="G36" s="7" t="n"/>
      <c r="H36" s="7">
        <f>IF(E36="","",IF(E36="Conforme","OK",IF(G36="Sim","RESOLVIDA",IF(E36="NC critica","NC CRITICA ABERTA","PENDENTE"))))</f>
        <v/>
      </c>
      <c r="I36" s="8" t="n"/>
    </row>
    <row r="37">
      <c r="A37" s="3" t="n"/>
      <c r="B37" s="4" t="n"/>
      <c r="C37" s="5" t="n"/>
      <c r="D37" s="5" t="n"/>
      <c r="E37" s="4" t="n"/>
      <c r="F37" s="4" t="n"/>
      <c r="G37" s="4" t="n"/>
      <c r="H37" s="4">
        <f>IF(E37="","",IF(E37="Conforme","OK",IF(G37="Sim","RESOLVIDA",IF(E37="NC critica","NC CRITICA ABERTA","PENDENTE"))))</f>
        <v/>
      </c>
      <c r="I37" s="5" t="n"/>
    </row>
    <row r="38">
      <c r="A38" s="6" t="n"/>
      <c r="B38" s="7" t="n"/>
      <c r="C38" s="8" t="n"/>
      <c r="D38" s="8" t="n"/>
      <c r="E38" s="7" t="n"/>
      <c r="F38" s="7" t="n"/>
      <c r="G38" s="7" t="n"/>
      <c r="H38" s="7">
        <f>IF(E38="","",IF(E38="Conforme","OK",IF(G38="Sim","RESOLVIDA",IF(E38="NC critica","NC CRITICA ABERTA","PENDENTE"))))</f>
        <v/>
      </c>
      <c r="I38" s="8" t="n"/>
    </row>
    <row r="39">
      <c r="A39" s="3" t="n"/>
      <c r="B39" s="4" t="n"/>
      <c r="C39" s="5" t="n"/>
      <c r="D39" s="5" t="n"/>
      <c r="E39" s="4" t="n"/>
      <c r="F39" s="4" t="n"/>
      <c r="G39" s="4" t="n"/>
      <c r="H39" s="4">
        <f>IF(E39="","",IF(E39="Conforme","OK",IF(G39="Sim","RESOLVIDA",IF(E39="NC critica","NC CRITICA ABERTA","PENDENTE"))))</f>
        <v/>
      </c>
      <c r="I39" s="5" t="n"/>
    </row>
    <row r="40">
      <c r="A40" s="6" t="n"/>
      <c r="B40" s="7" t="n"/>
      <c r="C40" s="8" t="n"/>
      <c r="D40" s="8" t="n"/>
      <c r="E40" s="7" t="n"/>
      <c r="F40" s="7" t="n"/>
      <c r="G40" s="7" t="n"/>
      <c r="H40" s="7">
        <f>IF(E40="","",IF(E40="Conforme","OK",IF(G40="Sim","RESOLVIDA",IF(E40="NC critica","NC CRITICA ABERTA","PENDENTE"))))</f>
        <v/>
      </c>
      <c r="I40" s="8" t="n"/>
    </row>
    <row r="41">
      <c r="A41" s="3" t="n"/>
      <c r="B41" s="4" t="n"/>
      <c r="C41" s="5" t="n"/>
      <c r="D41" s="5" t="n"/>
      <c r="E41" s="4" t="n"/>
      <c r="F41" s="4" t="n"/>
      <c r="G41" s="4" t="n"/>
      <c r="H41" s="4">
        <f>IF(E41="","",IF(E41="Conforme","OK",IF(G41="Sim","RESOLVIDA",IF(E41="NC critica","NC CRITICA ABERTA","PENDENTE"))))</f>
        <v/>
      </c>
      <c r="I41" s="5" t="n"/>
    </row>
    <row r="42">
      <c r="A42" s="6" t="n"/>
      <c r="B42" s="7" t="n"/>
      <c r="C42" s="8" t="n"/>
      <c r="D42" s="8" t="n"/>
      <c r="E42" s="7" t="n"/>
      <c r="F42" s="7" t="n"/>
      <c r="G42" s="7" t="n"/>
      <c r="H42" s="7">
        <f>IF(E42="","",IF(E42="Conforme","OK",IF(G42="Sim","RESOLVIDA",IF(E42="NC critica","NC CRITICA ABERTA","PENDENTE"))))</f>
        <v/>
      </c>
      <c r="I42" s="8" t="n"/>
    </row>
    <row r="43">
      <c r="A43" s="3" t="n"/>
      <c r="B43" s="4" t="n"/>
      <c r="C43" s="5" t="n"/>
      <c r="D43" s="5" t="n"/>
      <c r="E43" s="4" t="n"/>
      <c r="F43" s="4" t="n"/>
      <c r="G43" s="4" t="n"/>
      <c r="H43" s="4">
        <f>IF(E43="","",IF(E43="Conforme","OK",IF(G43="Sim","RESOLVIDA",IF(E43="NC critica","NC CRITICA ABERTA","PENDENTE"))))</f>
        <v/>
      </c>
      <c r="I43" s="5" t="n"/>
    </row>
    <row r="44">
      <c r="A44" s="6" t="n"/>
      <c r="B44" s="7" t="n"/>
      <c r="C44" s="8" t="n"/>
      <c r="D44" s="8" t="n"/>
      <c r="E44" s="7" t="n"/>
      <c r="F44" s="7" t="n"/>
      <c r="G44" s="7" t="n"/>
      <c r="H44" s="7">
        <f>IF(E44="","",IF(E44="Conforme","OK",IF(G44="Sim","RESOLVIDA",IF(E44="NC critica","NC CRITICA ABERTA","PENDENTE"))))</f>
        <v/>
      </c>
      <c r="I44" s="8" t="n"/>
    </row>
    <row r="45">
      <c r="A45" s="3" t="n"/>
      <c r="B45" s="4" t="n"/>
      <c r="C45" s="5" t="n"/>
      <c r="D45" s="5" t="n"/>
      <c r="E45" s="4" t="n"/>
      <c r="F45" s="4" t="n"/>
      <c r="G45" s="4" t="n"/>
      <c r="H45" s="4">
        <f>IF(E45="","",IF(E45="Conforme","OK",IF(G45="Sim","RESOLVIDA",IF(E45="NC critica","NC CRITICA ABERTA","PENDENTE"))))</f>
        <v/>
      </c>
      <c r="I45" s="5" t="n"/>
    </row>
    <row r="46">
      <c r="A46" s="6" t="n"/>
      <c r="B46" s="7" t="n"/>
      <c r="C46" s="8" t="n"/>
      <c r="D46" s="8" t="n"/>
      <c r="E46" s="7" t="n"/>
      <c r="F46" s="7" t="n"/>
      <c r="G46" s="7" t="n"/>
      <c r="H46" s="7">
        <f>IF(E46="","",IF(E46="Conforme","OK",IF(G46="Sim","RESOLVIDA",IF(E46="NC critica","NC CRITICA ABERTA","PENDENTE"))))</f>
        <v/>
      </c>
      <c r="I46" s="8" t="n"/>
    </row>
    <row r="47">
      <c r="A47" s="3" t="n"/>
      <c r="B47" s="4" t="n"/>
      <c r="C47" s="5" t="n"/>
      <c r="D47" s="5" t="n"/>
      <c r="E47" s="4" t="n"/>
      <c r="F47" s="4" t="n"/>
      <c r="G47" s="4" t="n"/>
      <c r="H47" s="4">
        <f>IF(E47="","",IF(E47="Conforme","OK",IF(G47="Sim","RESOLVIDA",IF(E47="NC critica","NC CRITICA ABERTA","PENDENTE"))))</f>
        <v/>
      </c>
      <c r="I47" s="5" t="n"/>
    </row>
    <row r="48">
      <c r="A48" s="6" t="n"/>
      <c r="B48" s="7" t="n"/>
      <c r="C48" s="8" t="n"/>
      <c r="D48" s="8" t="n"/>
      <c r="E48" s="7" t="n"/>
      <c r="F48" s="7" t="n"/>
      <c r="G48" s="7" t="n"/>
      <c r="H48" s="7">
        <f>IF(E48="","",IF(E48="Conforme","OK",IF(G48="Sim","RESOLVIDA",IF(E48="NC critica","NC CRITICA ABERTA","PENDENTE"))))</f>
        <v/>
      </c>
      <c r="I48" s="8" t="n"/>
    </row>
    <row r="49">
      <c r="A49" s="3" t="n"/>
      <c r="B49" s="4" t="n"/>
      <c r="C49" s="5" t="n"/>
      <c r="D49" s="5" t="n"/>
      <c r="E49" s="4" t="n"/>
      <c r="F49" s="4" t="n"/>
      <c r="G49" s="4" t="n"/>
      <c r="H49" s="4">
        <f>IF(E49="","",IF(E49="Conforme","OK",IF(G49="Sim","RESOLVIDA",IF(E49="NC critica","NC CRITICA ABERTA","PENDENTE"))))</f>
        <v/>
      </c>
      <c r="I49" s="5" t="n"/>
    </row>
    <row r="50">
      <c r="A50" s="6" t="n"/>
      <c r="B50" s="7" t="n"/>
      <c r="C50" s="8" t="n"/>
      <c r="D50" s="8" t="n"/>
      <c r="E50" s="7" t="n"/>
      <c r="F50" s="7" t="n"/>
      <c r="G50" s="7" t="n"/>
      <c r="H50" s="7">
        <f>IF(E50="","",IF(E50="Conforme","OK",IF(G50="Sim","RESOLVIDA",IF(E50="NC critica","NC CRITICA ABERTA","PENDENTE"))))</f>
        <v/>
      </c>
      <c r="I50" s="8" t="n"/>
    </row>
    <row r="51">
      <c r="A51" s="3" t="n"/>
      <c r="B51" s="4" t="n"/>
      <c r="C51" s="5" t="n"/>
      <c r="D51" s="5" t="n"/>
      <c r="E51" s="4" t="n"/>
      <c r="F51" s="4" t="n"/>
      <c r="G51" s="4" t="n"/>
      <c r="H51" s="4">
        <f>IF(E51="","",IF(E51="Conforme","OK",IF(G51="Sim","RESOLVIDA",IF(E51="NC critica","NC CRITICA ABERTA","PENDENTE"))))</f>
        <v/>
      </c>
      <c r="I51" s="5" t="n"/>
    </row>
    <row r="52">
      <c r="A52" s="6" t="n"/>
      <c r="B52" s="7" t="n"/>
      <c r="C52" s="8" t="n"/>
      <c r="D52" s="8" t="n"/>
      <c r="E52" s="7" t="n"/>
      <c r="F52" s="7" t="n"/>
      <c r="G52" s="7" t="n"/>
      <c r="H52" s="7">
        <f>IF(E52="","",IF(E52="Conforme","OK",IF(G52="Sim","RESOLVIDA",IF(E52="NC critica","NC CRITICA ABERTA","PENDENTE"))))</f>
        <v/>
      </c>
      <c r="I52" s="8" t="n"/>
    </row>
    <row r="53">
      <c r="A53" s="3" t="n"/>
      <c r="B53" s="4" t="n"/>
      <c r="C53" s="5" t="n"/>
      <c r="D53" s="5" t="n"/>
      <c r="E53" s="4" t="n"/>
      <c r="F53" s="4" t="n"/>
      <c r="G53" s="4" t="n"/>
      <c r="H53" s="4">
        <f>IF(E53="","",IF(E53="Conforme","OK",IF(G53="Sim","RESOLVIDA",IF(E53="NC critica","NC CRITICA ABERTA","PENDENTE"))))</f>
        <v/>
      </c>
      <c r="I53" s="5" t="n"/>
    </row>
    <row r="54">
      <c r="A54" s="6" t="n"/>
      <c r="B54" s="7" t="n"/>
      <c r="C54" s="8" t="n"/>
      <c r="D54" s="8" t="n"/>
      <c r="E54" s="7" t="n"/>
      <c r="F54" s="7" t="n"/>
      <c r="G54" s="7" t="n"/>
      <c r="H54" s="7">
        <f>IF(E54="","",IF(E54="Conforme","OK",IF(G54="Sim","RESOLVIDA",IF(E54="NC critica","NC CRITICA ABERTA","PENDENTE"))))</f>
        <v/>
      </c>
      <c r="I54" s="8" t="n"/>
    </row>
    <row r="55">
      <c r="A55" s="3" t="n"/>
      <c r="B55" s="4" t="n"/>
      <c r="C55" s="5" t="n"/>
      <c r="D55" s="5" t="n"/>
      <c r="E55" s="4" t="n"/>
      <c r="F55" s="4" t="n"/>
      <c r="G55" s="4" t="n"/>
      <c r="H55" s="4">
        <f>IF(E55="","",IF(E55="Conforme","OK",IF(G55="Sim","RESOLVIDA",IF(E55="NC critica","NC CRITICA ABERTA","PENDENTE"))))</f>
        <v/>
      </c>
      <c r="I55" s="5" t="n"/>
    </row>
    <row r="56">
      <c r="A56" s="6" t="n"/>
      <c r="B56" s="7" t="n"/>
      <c r="C56" s="8" t="n"/>
      <c r="D56" s="8" t="n"/>
      <c r="E56" s="7" t="n"/>
      <c r="F56" s="7" t="n"/>
      <c r="G56" s="7" t="n"/>
      <c r="H56" s="7">
        <f>IF(E56="","",IF(E56="Conforme","OK",IF(G56="Sim","RESOLVIDA",IF(E56="NC critica","NC CRITICA ABERTA","PENDENTE"))))</f>
        <v/>
      </c>
      <c r="I56" s="8" t="n"/>
    </row>
    <row r="57">
      <c r="A57" s="3" t="n"/>
      <c r="B57" s="4" t="n"/>
      <c r="C57" s="5" t="n"/>
      <c r="D57" s="5" t="n"/>
      <c r="E57" s="4" t="n"/>
      <c r="F57" s="4" t="n"/>
      <c r="G57" s="4" t="n"/>
      <c r="H57" s="4">
        <f>IF(E57="","",IF(E57="Conforme","OK",IF(G57="Sim","RESOLVIDA",IF(E57="NC critica","NC CRITICA ABERTA","PENDENTE"))))</f>
        <v/>
      </c>
      <c r="I57" s="5" t="n"/>
    </row>
    <row r="58">
      <c r="A58" s="6" t="n"/>
      <c r="B58" s="7" t="n"/>
      <c r="C58" s="8" t="n"/>
      <c r="D58" s="8" t="n"/>
      <c r="E58" s="7" t="n"/>
      <c r="F58" s="7" t="n"/>
      <c r="G58" s="7" t="n"/>
      <c r="H58" s="7">
        <f>IF(E58="","",IF(E58="Conforme","OK",IF(G58="Sim","RESOLVIDA",IF(E58="NC critica","NC CRITICA ABERTA","PENDENTE"))))</f>
        <v/>
      </c>
      <c r="I58" s="8" t="n"/>
    </row>
    <row r="59">
      <c r="A59" s="3" t="n"/>
      <c r="B59" s="4" t="n"/>
      <c r="C59" s="5" t="n"/>
      <c r="D59" s="5" t="n"/>
      <c r="E59" s="4" t="n"/>
      <c r="F59" s="4" t="n"/>
      <c r="G59" s="4" t="n"/>
      <c r="H59" s="4">
        <f>IF(E59="","",IF(E59="Conforme","OK",IF(G59="Sim","RESOLVIDA",IF(E59="NC critica","NC CRITICA ABERTA","PENDENTE"))))</f>
        <v/>
      </c>
      <c r="I59" s="5" t="n"/>
    </row>
    <row r="60">
      <c r="A60" s="6" t="n"/>
      <c r="B60" s="7" t="n"/>
      <c r="C60" s="8" t="n"/>
      <c r="D60" s="8" t="n"/>
      <c r="E60" s="7" t="n"/>
      <c r="F60" s="7" t="n"/>
      <c r="G60" s="7" t="n"/>
      <c r="H60" s="7">
        <f>IF(E60="","",IF(E60="Conforme","OK",IF(G60="Sim","RESOLVIDA",IF(E60="NC critica","NC CRITICA ABERTA","PENDENTE"))))</f>
        <v/>
      </c>
      <c r="I60" s="8" t="n"/>
    </row>
    <row r="61">
      <c r="A61" s="3" t="n"/>
      <c r="B61" s="4" t="n"/>
      <c r="C61" s="5" t="n"/>
      <c r="D61" s="5" t="n"/>
      <c r="E61" s="4" t="n"/>
      <c r="F61" s="4" t="n"/>
      <c r="G61" s="4" t="n"/>
      <c r="H61" s="4">
        <f>IF(E61="","",IF(E61="Conforme","OK",IF(G61="Sim","RESOLVIDA",IF(E61="NC critica","NC CRITICA ABERTA","PENDENTE"))))</f>
        <v/>
      </c>
      <c r="I61" s="5" t="n"/>
    </row>
    <row r="62">
      <c r="A62" s="6" t="n"/>
      <c r="B62" s="7" t="n"/>
      <c r="C62" s="8" t="n"/>
      <c r="D62" s="8" t="n"/>
      <c r="E62" s="7" t="n"/>
      <c r="F62" s="7" t="n"/>
      <c r="G62" s="7" t="n"/>
      <c r="H62" s="7">
        <f>IF(E62="","",IF(E62="Conforme","OK",IF(G62="Sim","RESOLVIDA",IF(E62="NC critica","NC CRITICA ABERTA","PENDENTE"))))</f>
        <v/>
      </c>
      <c r="I62" s="8" t="n"/>
    </row>
    <row r="63">
      <c r="A63" s="3" t="n"/>
      <c r="B63" s="4" t="n"/>
      <c r="C63" s="5" t="n"/>
      <c r="D63" s="5" t="n"/>
      <c r="E63" s="4" t="n"/>
      <c r="F63" s="4" t="n"/>
      <c r="G63" s="4" t="n"/>
      <c r="H63" s="4">
        <f>IF(E63="","",IF(E63="Conforme","OK",IF(G63="Sim","RESOLVIDA",IF(E63="NC critica","NC CRITICA ABERTA","PENDENTE"))))</f>
        <v/>
      </c>
      <c r="I63" s="5" t="n"/>
    </row>
    <row r="64">
      <c r="A64" s="6" t="n"/>
      <c r="B64" s="7" t="n"/>
      <c r="C64" s="8" t="n"/>
      <c r="D64" s="8" t="n"/>
      <c r="E64" s="7" t="n"/>
      <c r="F64" s="7" t="n"/>
      <c r="G64" s="7" t="n"/>
      <c r="H64" s="7">
        <f>IF(E64="","",IF(E64="Conforme","OK",IF(G64="Sim","RESOLVIDA",IF(E64="NC critica","NC CRITICA ABERTA","PENDENTE"))))</f>
        <v/>
      </c>
      <c r="I64" s="8" t="n"/>
    </row>
    <row r="65">
      <c r="A65" s="3" t="n"/>
      <c r="B65" s="4" t="n"/>
      <c r="C65" s="5" t="n"/>
      <c r="D65" s="5" t="n"/>
      <c r="E65" s="4" t="n"/>
      <c r="F65" s="4" t="n"/>
      <c r="G65" s="4" t="n"/>
      <c r="H65" s="4">
        <f>IF(E65="","",IF(E65="Conforme","OK",IF(G65="Sim","RESOLVIDA",IF(E65="NC critica","NC CRITICA ABERTA","PENDENTE"))))</f>
        <v/>
      </c>
      <c r="I65" s="5" t="n"/>
    </row>
    <row r="66">
      <c r="A66" s="6" t="n"/>
      <c r="B66" s="7" t="n"/>
      <c r="C66" s="8" t="n"/>
      <c r="D66" s="8" t="n"/>
      <c r="E66" s="7" t="n"/>
      <c r="F66" s="7" t="n"/>
      <c r="G66" s="7" t="n"/>
      <c r="H66" s="7">
        <f>IF(E66="","",IF(E66="Conforme","OK",IF(G66="Sim","RESOLVIDA",IF(E66="NC critica","NC CRITICA ABERTA","PENDENTE"))))</f>
        <v/>
      </c>
      <c r="I66" s="8" t="n"/>
    </row>
    <row r="67">
      <c r="A67" s="3" t="n"/>
      <c r="B67" s="4" t="n"/>
      <c r="C67" s="5" t="n"/>
      <c r="D67" s="5" t="n"/>
      <c r="E67" s="4" t="n"/>
      <c r="F67" s="4" t="n"/>
      <c r="G67" s="4" t="n"/>
      <c r="H67" s="4">
        <f>IF(E67="","",IF(E67="Conforme","OK",IF(G67="Sim","RESOLVIDA",IF(E67="NC critica","NC CRITICA ABERTA","PENDENTE"))))</f>
        <v/>
      </c>
      <c r="I67" s="5" t="n"/>
    </row>
    <row r="68">
      <c r="A68" s="6" t="n"/>
      <c r="B68" s="7" t="n"/>
      <c r="C68" s="8" t="n"/>
      <c r="D68" s="8" t="n"/>
      <c r="E68" s="7" t="n"/>
      <c r="F68" s="7" t="n"/>
      <c r="G68" s="7" t="n"/>
      <c r="H68" s="7">
        <f>IF(E68="","",IF(E68="Conforme","OK",IF(G68="Sim","RESOLVIDA",IF(E68="NC critica","NC CRITICA ABERTA","PENDENTE"))))</f>
        <v/>
      </c>
      <c r="I68" s="8" t="n"/>
    </row>
    <row r="69">
      <c r="A69" s="3" t="n"/>
      <c r="B69" s="4" t="n"/>
      <c r="C69" s="5" t="n"/>
      <c r="D69" s="5" t="n"/>
      <c r="E69" s="4" t="n"/>
      <c r="F69" s="4" t="n"/>
      <c r="G69" s="4" t="n"/>
      <c r="H69" s="4">
        <f>IF(E69="","",IF(E69="Conforme","OK",IF(G69="Sim","RESOLVIDA",IF(E69="NC critica","NC CRITICA ABERTA","PENDENTE"))))</f>
        <v/>
      </c>
      <c r="I69" s="5" t="n"/>
    </row>
    <row r="70">
      <c r="A70" s="6" t="n"/>
      <c r="B70" s="7" t="n"/>
      <c r="C70" s="8" t="n"/>
      <c r="D70" s="8" t="n"/>
      <c r="E70" s="7" t="n"/>
      <c r="F70" s="7" t="n"/>
      <c r="G70" s="7" t="n"/>
      <c r="H70" s="7">
        <f>IF(E70="","",IF(E70="Conforme","OK",IF(G70="Sim","RESOLVIDA",IF(E70="NC critica","NC CRITICA ABERTA","PENDENTE"))))</f>
        <v/>
      </c>
      <c r="I70" s="8" t="n"/>
    </row>
    <row r="71">
      <c r="A71" s="3" t="n"/>
      <c r="B71" s="4" t="n"/>
      <c r="C71" s="5" t="n"/>
      <c r="D71" s="5" t="n"/>
      <c r="E71" s="4" t="n"/>
      <c r="F71" s="4" t="n"/>
      <c r="G71" s="4" t="n"/>
      <c r="H71" s="4">
        <f>IF(E71="","",IF(E71="Conforme","OK",IF(G71="Sim","RESOLVIDA",IF(E71="NC critica","NC CRITICA ABERTA","PENDENTE"))))</f>
        <v/>
      </c>
      <c r="I71" s="5" t="n"/>
    </row>
    <row r="72">
      <c r="A72" s="6" t="n"/>
      <c r="B72" s="7" t="n"/>
      <c r="C72" s="8" t="n"/>
      <c r="D72" s="8" t="n"/>
      <c r="E72" s="7" t="n"/>
      <c r="F72" s="7" t="n"/>
      <c r="G72" s="7" t="n"/>
      <c r="H72" s="7">
        <f>IF(E72="","",IF(E72="Conforme","OK",IF(G72="Sim","RESOLVIDA",IF(E72="NC critica","NC CRITICA ABERTA","PENDENTE"))))</f>
        <v/>
      </c>
      <c r="I72" s="8" t="n"/>
    </row>
    <row r="73">
      <c r="A73" s="3" t="n"/>
      <c r="B73" s="4" t="n"/>
      <c r="C73" s="5" t="n"/>
      <c r="D73" s="5" t="n"/>
      <c r="E73" s="4" t="n"/>
      <c r="F73" s="4" t="n"/>
      <c r="G73" s="4" t="n"/>
      <c r="H73" s="4">
        <f>IF(E73="","",IF(E73="Conforme","OK",IF(G73="Sim","RESOLVIDA",IF(E73="NC critica","NC CRITICA ABERTA","PENDENTE"))))</f>
        <v/>
      </c>
      <c r="I73" s="5" t="n"/>
    </row>
    <row r="74">
      <c r="A74" s="6" t="n"/>
      <c r="B74" s="7" t="n"/>
      <c r="C74" s="8" t="n"/>
      <c r="D74" s="8" t="n"/>
      <c r="E74" s="7" t="n"/>
      <c r="F74" s="7" t="n"/>
      <c r="G74" s="7" t="n"/>
      <c r="H74" s="7">
        <f>IF(E74="","",IF(E74="Conforme","OK",IF(G74="Sim","RESOLVIDA",IF(E74="NC critica","NC CRITICA ABERTA","PENDENTE"))))</f>
        <v/>
      </c>
      <c r="I74" s="8" t="n"/>
    </row>
    <row r="75">
      <c r="A75" s="3" t="n"/>
      <c r="B75" s="4" t="n"/>
      <c r="C75" s="5" t="n"/>
      <c r="D75" s="5" t="n"/>
      <c r="E75" s="4" t="n"/>
      <c r="F75" s="4" t="n"/>
      <c r="G75" s="4" t="n"/>
      <c r="H75" s="4">
        <f>IF(E75="","",IF(E75="Conforme","OK",IF(G75="Sim","RESOLVIDA",IF(E75="NC critica","NC CRITICA ABERTA","PENDENTE"))))</f>
        <v/>
      </c>
      <c r="I75" s="5" t="n"/>
    </row>
    <row r="76">
      <c r="A76" s="6" t="n"/>
      <c r="B76" s="7" t="n"/>
      <c r="C76" s="8" t="n"/>
      <c r="D76" s="8" t="n"/>
      <c r="E76" s="7" t="n"/>
      <c r="F76" s="7" t="n"/>
      <c r="G76" s="7" t="n"/>
      <c r="H76" s="7">
        <f>IF(E76="","",IF(E76="Conforme","OK",IF(G76="Sim","RESOLVIDA",IF(E76="NC critica","NC CRITICA ABERTA","PENDENTE"))))</f>
        <v/>
      </c>
      <c r="I76" s="8" t="n"/>
    </row>
    <row r="77">
      <c r="A77" s="3" t="n"/>
      <c r="B77" s="4" t="n"/>
      <c r="C77" s="5" t="n"/>
      <c r="D77" s="5" t="n"/>
      <c r="E77" s="4" t="n"/>
      <c r="F77" s="4" t="n"/>
      <c r="G77" s="4" t="n"/>
      <c r="H77" s="4">
        <f>IF(E77="","",IF(E77="Conforme","OK",IF(G77="Sim","RESOLVIDA",IF(E77="NC critica","NC CRITICA ABERTA","PENDENTE"))))</f>
        <v/>
      </c>
      <c r="I77" s="5" t="n"/>
    </row>
    <row r="78">
      <c r="A78" s="6" t="n"/>
      <c r="B78" s="7" t="n"/>
      <c r="C78" s="8" t="n"/>
      <c r="D78" s="8" t="n"/>
      <c r="E78" s="7" t="n"/>
      <c r="F78" s="7" t="n"/>
      <c r="G78" s="7" t="n"/>
      <c r="H78" s="7">
        <f>IF(E78="","",IF(E78="Conforme","OK",IF(G78="Sim","RESOLVIDA",IF(E78="NC critica","NC CRITICA ABERTA","PENDENTE"))))</f>
        <v/>
      </c>
      <c r="I78" s="8" t="n"/>
    </row>
    <row r="79">
      <c r="A79" s="3" t="n"/>
      <c r="B79" s="4" t="n"/>
      <c r="C79" s="5" t="n"/>
      <c r="D79" s="5" t="n"/>
      <c r="E79" s="4" t="n"/>
      <c r="F79" s="4" t="n"/>
      <c r="G79" s="4" t="n"/>
      <c r="H79" s="4">
        <f>IF(E79="","",IF(E79="Conforme","OK",IF(G79="Sim","RESOLVIDA",IF(E79="NC critica","NC CRITICA ABERTA","PENDENTE"))))</f>
        <v/>
      </c>
      <c r="I79" s="5" t="n"/>
    </row>
    <row r="80">
      <c r="A80" s="6" t="n"/>
      <c r="B80" s="7" t="n"/>
      <c r="C80" s="8" t="n"/>
      <c r="D80" s="8" t="n"/>
      <c r="E80" s="7" t="n"/>
      <c r="F80" s="7" t="n"/>
      <c r="G80" s="7" t="n"/>
      <c r="H80" s="7">
        <f>IF(E80="","",IF(E80="Conforme","OK",IF(G80="Sim","RESOLVIDA",IF(E80="NC critica","NC CRITICA ABERTA","PENDENTE"))))</f>
        <v/>
      </c>
      <c r="I80" s="8" t="n"/>
    </row>
    <row r="81">
      <c r="A81" s="3" t="n"/>
      <c r="B81" s="4" t="n"/>
      <c r="C81" s="5" t="n"/>
      <c r="D81" s="5" t="n"/>
      <c r="E81" s="4" t="n"/>
      <c r="F81" s="4" t="n"/>
      <c r="G81" s="4" t="n"/>
      <c r="H81" s="4">
        <f>IF(E81="","",IF(E81="Conforme","OK",IF(G81="Sim","RESOLVIDA",IF(E81="NC critica","NC CRITICA ABERTA","PENDENTE"))))</f>
        <v/>
      </c>
      <c r="I81" s="5" t="n"/>
    </row>
    <row r="82">
      <c r="A82" s="6" t="n"/>
      <c r="B82" s="7" t="n"/>
      <c r="C82" s="8" t="n"/>
      <c r="D82" s="8" t="n"/>
      <c r="E82" s="7" t="n"/>
      <c r="F82" s="7" t="n"/>
      <c r="G82" s="7" t="n"/>
      <c r="H82" s="7">
        <f>IF(E82="","",IF(E82="Conforme","OK",IF(G82="Sim","RESOLVIDA",IF(E82="NC critica","NC CRITICA ABERTA","PENDENTE"))))</f>
        <v/>
      </c>
      <c r="I82" s="8" t="n"/>
    </row>
    <row r="83">
      <c r="A83" s="3" t="n"/>
      <c r="B83" s="4" t="n"/>
      <c r="C83" s="5" t="n"/>
      <c r="D83" s="5" t="n"/>
      <c r="E83" s="4" t="n"/>
      <c r="F83" s="4" t="n"/>
      <c r="G83" s="4" t="n"/>
      <c r="H83" s="4">
        <f>IF(E83="","",IF(E83="Conforme","OK",IF(G83="Sim","RESOLVIDA",IF(E83="NC critica","NC CRITICA ABERTA","PENDENTE"))))</f>
        <v/>
      </c>
      <c r="I83" s="5" t="n"/>
    </row>
    <row r="84">
      <c r="A84" s="6" t="n"/>
      <c r="B84" s="7" t="n"/>
      <c r="C84" s="8" t="n"/>
      <c r="D84" s="8" t="n"/>
      <c r="E84" s="7" t="n"/>
      <c r="F84" s="7" t="n"/>
      <c r="G84" s="7" t="n"/>
      <c r="H84" s="7">
        <f>IF(E84="","",IF(E84="Conforme","OK",IF(G84="Sim","RESOLVIDA",IF(E84="NC critica","NC CRITICA ABERTA","PENDENTE"))))</f>
        <v/>
      </c>
      <c r="I84" s="8" t="n"/>
    </row>
    <row r="85">
      <c r="A85" s="3" t="n"/>
      <c r="B85" s="4" t="n"/>
      <c r="C85" s="5" t="n"/>
      <c r="D85" s="5" t="n"/>
      <c r="E85" s="4" t="n"/>
      <c r="F85" s="4" t="n"/>
      <c r="G85" s="4" t="n"/>
      <c r="H85" s="4">
        <f>IF(E85="","",IF(E85="Conforme","OK",IF(G85="Sim","RESOLVIDA",IF(E85="NC critica","NC CRITICA ABERTA","PENDENTE"))))</f>
        <v/>
      </c>
      <c r="I85" s="5" t="n"/>
    </row>
    <row r="86">
      <c r="A86" s="6" t="n"/>
      <c r="B86" s="7" t="n"/>
      <c r="C86" s="8" t="n"/>
      <c r="D86" s="8" t="n"/>
      <c r="E86" s="7" t="n"/>
      <c r="F86" s="7" t="n"/>
      <c r="G86" s="7" t="n"/>
      <c r="H86" s="7">
        <f>IF(E86="","",IF(E86="Conforme","OK",IF(G86="Sim","RESOLVIDA",IF(E86="NC critica","NC CRITICA ABERTA","PENDENTE"))))</f>
        <v/>
      </c>
      <c r="I86" s="8" t="n"/>
    </row>
    <row r="87">
      <c r="A87" s="3" t="n"/>
      <c r="B87" s="4" t="n"/>
      <c r="C87" s="5" t="n"/>
      <c r="D87" s="5" t="n"/>
      <c r="E87" s="4" t="n"/>
      <c r="F87" s="4" t="n"/>
      <c r="G87" s="4" t="n"/>
      <c r="H87" s="4">
        <f>IF(E87="","",IF(E87="Conforme","OK",IF(G87="Sim","RESOLVIDA",IF(E87="NC critica","NC CRITICA ABERTA","PENDENTE"))))</f>
        <v/>
      </c>
      <c r="I87" s="5" t="n"/>
    </row>
    <row r="88">
      <c r="A88" s="6" t="n"/>
      <c r="B88" s="7" t="n"/>
      <c r="C88" s="8" t="n"/>
      <c r="D88" s="8" t="n"/>
      <c r="E88" s="7" t="n"/>
      <c r="F88" s="7" t="n"/>
      <c r="G88" s="7" t="n"/>
      <c r="H88" s="7">
        <f>IF(E88="","",IF(E88="Conforme","OK",IF(G88="Sim","RESOLVIDA",IF(E88="NC critica","NC CRITICA ABERTA","PENDENTE"))))</f>
        <v/>
      </c>
      <c r="I88" s="8" t="n"/>
    </row>
    <row r="89">
      <c r="A89" s="3" t="n"/>
      <c r="B89" s="4" t="n"/>
      <c r="C89" s="5" t="n"/>
      <c r="D89" s="5" t="n"/>
      <c r="E89" s="4" t="n"/>
      <c r="F89" s="4" t="n"/>
      <c r="G89" s="4" t="n"/>
      <c r="H89" s="4">
        <f>IF(E89="","",IF(E89="Conforme","OK",IF(G89="Sim","RESOLVIDA",IF(E89="NC critica","NC CRITICA ABERTA","PENDENTE"))))</f>
        <v/>
      </c>
      <c r="I89" s="5" t="n"/>
    </row>
    <row r="90">
      <c r="A90" s="6" t="n"/>
      <c r="B90" s="7" t="n"/>
      <c r="C90" s="8" t="n"/>
      <c r="D90" s="8" t="n"/>
      <c r="E90" s="7" t="n"/>
      <c r="F90" s="7" t="n"/>
      <c r="G90" s="7" t="n"/>
      <c r="H90" s="7">
        <f>IF(E90="","",IF(E90="Conforme","OK",IF(G90="Sim","RESOLVIDA",IF(E90="NC critica","NC CRITICA ABERTA","PENDENTE"))))</f>
        <v/>
      </c>
      <c r="I90" s="8" t="n"/>
    </row>
    <row r="91">
      <c r="A91" s="3" t="n"/>
      <c r="B91" s="4" t="n"/>
      <c r="C91" s="5" t="n"/>
      <c r="D91" s="5" t="n"/>
      <c r="E91" s="4" t="n"/>
      <c r="F91" s="4" t="n"/>
      <c r="G91" s="4" t="n"/>
      <c r="H91" s="4">
        <f>IF(E91="","",IF(E91="Conforme","OK",IF(G91="Sim","RESOLVIDA",IF(E91="NC critica","NC CRITICA ABERTA","PENDENTE"))))</f>
        <v/>
      </c>
      <c r="I91" s="5" t="n"/>
    </row>
    <row r="92">
      <c r="A92" s="6" t="n"/>
      <c r="B92" s="7" t="n"/>
      <c r="C92" s="8" t="n"/>
      <c r="D92" s="8" t="n"/>
      <c r="E92" s="7" t="n"/>
      <c r="F92" s="7" t="n"/>
      <c r="G92" s="7" t="n"/>
      <c r="H92" s="7">
        <f>IF(E92="","",IF(E92="Conforme","OK",IF(G92="Sim","RESOLVIDA",IF(E92="NC critica","NC CRITICA ABERTA","PENDENTE"))))</f>
        <v/>
      </c>
      <c r="I92" s="8" t="n"/>
    </row>
    <row r="93">
      <c r="A93" s="3" t="n"/>
      <c r="B93" s="4" t="n"/>
      <c r="C93" s="5" t="n"/>
      <c r="D93" s="5" t="n"/>
      <c r="E93" s="4" t="n"/>
      <c r="F93" s="4" t="n"/>
      <c r="G93" s="4" t="n"/>
      <c r="H93" s="4">
        <f>IF(E93="","",IF(E93="Conforme","OK",IF(G93="Sim","RESOLVIDA",IF(E93="NC critica","NC CRITICA ABERTA","PENDENTE"))))</f>
        <v/>
      </c>
      <c r="I93" s="5" t="n"/>
    </row>
    <row r="94">
      <c r="A94" s="6" t="n"/>
      <c r="B94" s="7" t="n"/>
      <c r="C94" s="8" t="n"/>
      <c r="D94" s="8" t="n"/>
      <c r="E94" s="7" t="n"/>
      <c r="F94" s="7" t="n"/>
      <c r="G94" s="7" t="n"/>
      <c r="H94" s="7">
        <f>IF(E94="","",IF(E94="Conforme","OK",IF(G94="Sim","RESOLVIDA",IF(E94="NC critica","NC CRITICA ABERTA","PENDENTE"))))</f>
        <v/>
      </c>
      <c r="I94" s="8" t="n"/>
    </row>
    <row r="95">
      <c r="A95" s="3" t="n"/>
      <c r="B95" s="4" t="n"/>
      <c r="C95" s="5" t="n"/>
      <c r="D95" s="5" t="n"/>
      <c r="E95" s="4" t="n"/>
      <c r="F95" s="4" t="n"/>
      <c r="G95" s="4" t="n"/>
      <c r="H95" s="4">
        <f>IF(E95="","",IF(E95="Conforme","OK",IF(G95="Sim","RESOLVIDA",IF(E95="NC critica","NC CRITICA ABERTA","PENDENTE"))))</f>
        <v/>
      </c>
      <c r="I95" s="5" t="n"/>
    </row>
    <row r="96">
      <c r="A96" s="6" t="n"/>
      <c r="B96" s="7" t="n"/>
      <c r="C96" s="8" t="n"/>
      <c r="D96" s="8" t="n"/>
      <c r="E96" s="7" t="n"/>
      <c r="F96" s="7" t="n"/>
      <c r="G96" s="7" t="n"/>
      <c r="H96" s="7">
        <f>IF(E96="","",IF(E96="Conforme","OK",IF(G96="Sim","RESOLVIDA",IF(E96="NC critica","NC CRITICA ABERTA","PENDENTE"))))</f>
        <v/>
      </c>
      <c r="I96" s="8" t="n"/>
    </row>
    <row r="97">
      <c r="A97" s="3" t="n"/>
      <c r="B97" s="4" t="n"/>
      <c r="C97" s="5" t="n"/>
      <c r="D97" s="5" t="n"/>
      <c r="E97" s="4" t="n"/>
      <c r="F97" s="4" t="n"/>
      <c r="G97" s="4" t="n"/>
      <c r="H97" s="4">
        <f>IF(E97="","",IF(E97="Conforme","OK",IF(G97="Sim","RESOLVIDA",IF(E97="NC critica","NC CRITICA ABERTA","PENDENTE"))))</f>
        <v/>
      </c>
      <c r="I97" s="5" t="n"/>
    </row>
    <row r="98">
      <c r="A98" s="6" t="n"/>
      <c r="B98" s="7" t="n"/>
      <c r="C98" s="8" t="n"/>
      <c r="D98" s="8" t="n"/>
      <c r="E98" s="7" t="n"/>
      <c r="F98" s="7" t="n"/>
      <c r="G98" s="7" t="n"/>
      <c r="H98" s="7">
        <f>IF(E98="","",IF(E98="Conforme","OK",IF(G98="Sim","RESOLVIDA",IF(E98="NC critica","NC CRITICA ABERTA","PENDENTE"))))</f>
        <v/>
      </c>
      <c r="I98" s="8" t="n"/>
    </row>
    <row r="99">
      <c r="A99" s="3" t="n"/>
      <c r="B99" s="4" t="n"/>
      <c r="C99" s="5" t="n"/>
      <c r="D99" s="5" t="n"/>
      <c r="E99" s="4" t="n"/>
      <c r="F99" s="4" t="n"/>
      <c r="G99" s="4" t="n"/>
      <c r="H99" s="4">
        <f>IF(E99="","",IF(E99="Conforme","OK",IF(G99="Sim","RESOLVIDA",IF(E99="NC critica","NC CRITICA ABERTA","PENDENTE"))))</f>
        <v/>
      </c>
      <c r="I99" s="5" t="n"/>
    </row>
    <row r="100">
      <c r="A100" s="6" t="n"/>
      <c r="B100" s="7" t="n"/>
      <c r="C100" s="8" t="n"/>
      <c r="D100" s="8" t="n"/>
      <c r="E100" s="7" t="n"/>
      <c r="F100" s="7" t="n"/>
      <c r="G100" s="7" t="n"/>
      <c r="H100" s="7">
        <f>IF(E100="","",IF(E100="Conforme","OK",IF(G100="Sim","RESOLVIDA",IF(E100="NC critica","NC CRITICA ABERTA","PENDENTE"))))</f>
        <v/>
      </c>
      <c r="I100" s="8" t="n"/>
    </row>
    <row r="101">
      <c r="A101" s="3" t="n"/>
      <c r="B101" s="4" t="n"/>
      <c r="C101" s="5" t="n"/>
      <c r="D101" s="5" t="n"/>
      <c r="E101" s="4" t="n"/>
      <c r="F101" s="4" t="n"/>
      <c r="G101" s="4" t="n"/>
      <c r="H101" s="4">
        <f>IF(E101="","",IF(E101="Conforme","OK",IF(G101="Sim","RESOLVIDA",IF(E101="NC critica","NC CRITICA ABERTA","PENDENTE"))))</f>
        <v/>
      </c>
      <c r="I101" s="5" t="n"/>
    </row>
    <row r="102">
      <c r="A102" s="6" t="n"/>
      <c r="B102" s="7" t="n"/>
      <c r="C102" s="8" t="n"/>
      <c r="D102" s="8" t="n"/>
      <c r="E102" s="7" t="n"/>
      <c r="F102" s="7" t="n"/>
      <c r="G102" s="7" t="n"/>
      <c r="H102" s="7">
        <f>IF(E102="","",IF(E102="Conforme","OK",IF(G102="Sim","RESOLVIDA",IF(E102="NC critica","NC CRITICA ABERTA","PENDENTE"))))</f>
        <v/>
      </c>
      <c r="I102" s="8" t="n"/>
    </row>
    <row r="103">
      <c r="A103" s="3" t="n"/>
      <c r="B103" s="4" t="n"/>
      <c r="C103" s="5" t="n"/>
      <c r="D103" s="5" t="n"/>
      <c r="E103" s="4" t="n"/>
      <c r="F103" s="4" t="n"/>
      <c r="G103" s="4" t="n"/>
      <c r="H103" s="4">
        <f>IF(E103="","",IF(E103="Conforme","OK",IF(G103="Sim","RESOLVIDA",IF(E103="NC critica","NC CRITICA ABERTA","PENDENTE"))))</f>
        <v/>
      </c>
      <c r="I103" s="5" t="n"/>
    </row>
    <row r="104">
      <c r="A104" s="6" t="n"/>
      <c r="B104" s="7" t="n"/>
      <c r="C104" s="8" t="n"/>
      <c r="D104" s="8" t="n"/>
      <c r="E104" s="7" t="n"/>
      <c r="F104" s="7" t="n"/>
      <c r="G104" s="7" t="n"/>
      <c r="H104" s="7">
        <f>IF(E104="","",IF(E104="Conforme","OK",IF(G104="Sim","RESOLVIDA",IF(E104="NC critica","NC CRITICA ABERTA","PENDENTE"))))</f>
        <v/>
      </c>
      <c r="I104" s="8" t="n"/>
    </row>
    <row r="105">
      <c r="A105" s="3" t="n"/>
      <c r="B105" s="4" t="n"/>
      <c r="C105" s="5" t="n"/>
      <c r="D105" s="5" t="n"/>
      <c r="E105" s="4" t="n"/>
      <c r="F105" s="4" t="n"/>
      <c r="G105" s="4" t="n"/>
      <c r="H105" s="4">
        <f>IF(E105="","",IF(E105="Conforme","OK",IF(G105="Sim","RESOLVIDA",IF(E105="NC critica","NC CRITICA ABERTA","PENDENTE"))))</f>
        <v/>
      </c>
      <c r="I105" s="5" t="n"/>
    </row>
    <row r="106">
      <c r="A106" s="6" t="n"/>
      <c r="B106" s="7" t="n"/>
      <c r="C106" s="8" t="n"/>
      <c r="D106" s="8" t="n"/>
      <c r="E106" s="7" t="n"/>
      <c r="F106" s="7" t="n"/>
      <c r="G106" s="7" t="n"/>
      <c r="H106" s="7">
        <f>IF(E106="","",IF(E106="Conforme","OK",IF(G106="Sim","RESOLVIDA",IF(E106="NC critica","NC CRITICA ABERTA","PENDENTE"))))</f>
        <v/>
      </c>
      <c r="I106" s="8" t="n"/>
    </row>
    <row r="107">
      <c r="A107" s="3" t="n"/>
      <c r="B107" s="4" t="n"/>
      <c r="C107" s="5" t="n"/>
      <c r="D107" s="5" t="n"/>
      <c r="E107" s="4" t="n"/>
      <c r="F107" s="4" t="n"/>
      <c r="G107" s="4" t="n"/>
      <c r="H107" s="4">
        <f>IF(E107="","",IF(E107="Conforme","OK",IF(G107="Sim","RESOLVIDA",IF(E107="NC critica","NC CRITICA ABERTA","PENDENTE"))))</f>
        <v/>
      </c>
      <c r="I107" s="5" t="n"/>
    </row>
    <row r="108">
      <c r="A108" s="6" t="n"/>
      <c r="B108" s="7" t="n"/>
      <c r="C108" s="8" t="n"/>
      <c r="D108" s="8" t="n"/>
      <c r="E108" s="7" t="n"/>
      <c r="F108" s="7" t="n"/>
      <c r="G108" s="7" t="n"/>
      <c r="H108" s="7">
        <f>IF(E108="","",IF(E108="Conforme","OK",IF(G108="Sim","RESOLVIDA",IF(E108="NC critica","NC CRITICA ABERTA","PENDENTE"))))</f>
        <v/>
      </c>
      <c r="I108" s="8" t="n"/>
    </row>
    <row r="109">
      <c r="A109" s="3" t="n"/>
      <c r="B109" s="4" t="n"/>
      <c r="C109" s="5" t="n"/>
      <c r="D109" s="5" t="n"/>
      <c r="E109" s="4" t="n"/>
      <c r="F109" s="4" t="n"/>
      <c r="G109" s="4" t="n"/>
      <c r="H109" s="4">
        <f>IF(E109="","",IF(E109="Conforme","OK",IF(G109="Sim","RESOLVIDA",IF(E109="NC critica","NC CRITICA ABERTA","PENDENTE"))))</f>
        <v/>
      </c>
      <c r="I109" s="5" t="n"/>
    </row>
    <row r="110">
      <c r="A110" s="6" t="n"/>
      <c r="B110" s="7" t="n"/>
      <c r="C110" s="8" t="n"/>
      <c r="D110" s="8" t="n"/>
      <c r="E110" s="7" t="n"/>
      <c r="F110" s="7" t="n"/>
      <c r="G110" s="7" t="n"/>
      <c r="H110" s="7">
        <f>IF(E110="","",IF(E110="Conforme","OK",IF(G110="Sim","RESOLVIDA",IF(E110="NC critica","NC CRITICA ABERTA","PENDENTE"))))</f>
        <v/>
      </c>
      <c r="I110" s="8" t="n"/>
    </row>
    <row r="111">
      <c r="A111" s="3" t="n"/>
      <c r="B111" s="4" t="n"/>
      <c r="C111" s="5" t="n"/>
      <c r="D111" s="5" t="n"/>
      <c r="E111" s="4" t="n"/>
      <c r="F111" s="4" t="n"/>
      <c r="G111" s="4" t="n"/>
      <c r="H111" s="4">
        <f>IF(E111="","",IF(E111="Conforme","OK",IF(G111="Sim","RESOLVIDA",IF(E111="NC critica","NC CRITICA ABERTA","PENDENTE"))))</f>
        <v/>
      </c>
      <c r="I111" s="5" t="n"/>
    </row>
    <row r="112">
      <c r="A112" s="6" t="n"/>
      <c r="B112" s="7" t="n"/>
      <c r="C112" s="8" t="n"/>
      <c r="D112" s="8" t="n"/>
      <c r="E112" s="7" t="n"/>
      <c r="F112" s="7" t="n"/>
      <c r="G112" s="7" t="n"/>
      <c r="H112" s="7">
        <f>IF(E112="","",IF(E112="Conforme","OK",IF(G112="Sim","RESOLVIDA",IF(E112="NC critica","NC CRITICA ABERTA","PENDENTE"))))</f>
        <v/>
      </c>
      <c r="I112" s="8" t="n"/>
    </row>
    <row r="113">
      <c r="A113" s="3" t="n"/>
      <c r="B113" s="4" t="n"/>
      <c r="C113" s="5" t="n"/>
      <c r="D113" s="5" t="n"/>
      <c r="E113" s="4" t="n"/>
      <c r="F113" s="4" t="n"/>
      <c r="G113" s="4" t="n"/>
      <c r="H113" s="4">
        <f>IF(E113="","",IF(E113="Conforme","OK",IF(G113="Sim","RESOLVIDA",IF(E113="NC critica","NC CRITICA ABERTA","PENDENTE"))))</f>
        <v/>
      </c>
      <c r="I113" s="5" t="n"/>
    </row>
    <row r="114">
      <c r="A114" s="6" t="n"/>
      <c r="B114" s="7" t="n"/>
      <c r="C114" s="8" t="n"/>
      <c r="D114" s="8" t="n"/>
      <c r="E114" s="7" t="n"/>
      <c r="F114" s="7" t="n"/>
      <c r="G114" s="7" t="n"/>
      <c r="H114" s="7">
        <f>IF(E114="","",IF(E114="Conforme","OK",IF(G114="Sim","RESOLVIDA",IF(E114="NC critica","NC CRITICA ABERTA","PENDENTE"))))</f>
        <v/>
      </c>
      <c r="I114" s="8" t="n"/>
    </row>
    <row r="115">
      <c r="A115" s="3" t="n"/>
      <c r="B115" s="4" t="n"/>
      <c r="C115" s="5" t="n"/>
      <c r="D115" s="5" t="n"/>
      <c r="E115" s="4" t="n"/>
      <c r="F115" s="4" t="n"/>
      <c r="G115" s="4" t="n"/>
      <c r="H115" s="4">
        <f>IF(E115="","",IF(E115="Conforme","OK",IF(G115="Sim","RESOLVIDA",IF(E115="NC critica","NC CRITICA ABERTA","PENDENTE"))))</f>
        <v/>
      </c>
      <c r="I115" s="5" t="n"/>
    </row>
    <row r="116">
      <c r="A116" s="6" t="n"/>
      <c r="B116" s="7" t="n"/>
      <c r="C116" s="8" t="n"/>
      <c r="D116" s="8" t="n"/>
      <c r="E116" s="7" t="n"/>
      <c r="F116" s="7" t="n"/>
      <c r="G116" s="7" t="n"/>
      <c r="H116" s="7">
        <f>IF(E116="","",IF(E116="Conforme","OK",IF(G116="Sim","RESOLVIDA",IF(E116="NC critica","NC CRITICA ABERTA","PENDENTE"))))</f>
        <v/>
      </c>
      <c r="I116" s="8" t="n"/>
    </row>
    <row r="117">
      <c r="A117" s="3" t="n"/>
      <c r="B117" s="4" t="n"/>
      <c r="C117" s="5" t="n"/>
      <c r="D117" s="5" t="n"/>
      <c r="E117" s="4" t="n"/>
      <c r="F117" s="4" t="n"/>
      <c r="G117" s="4" t="n"/>
      <c r="H117" s="4">
        <f>IF(E117="","",IF(E117="Conforme","OK",IF(G117="Sim","RESOLVIDA",IF(E117="NC critica","NC CRITICA ABERTA","PENDENTE"))))</f>
        <v/>
      </c>
      <c r="I117" s="5" t="n"/>
    </row>
    <row r="118">
      <c r="A118" s="6" t="n"/>
      <c r="B118" s="7" t="n"/>
      <c r="C118" s="8" t="n"/>
      <c r="D118" s="8" t="n"/>
      <c r="E118" s="7" t="n"/>
      <c r="F118" s="7" t="n"/>
      <c r="G118" s="7" t="n"/>
      <c r="H118" s="7">
        <f>IF(E118="","",IF(E118="Conforme","OK",IF(G118="Sim","RESOLVIDA",IF(E118="NC critica","NC CRITICA ABERTA","PENDENTE"))))</f>
        <v/>
      </c>
      <c r="I118" s="8" t="n"/>
    </row>
    <row r="119">
      <c r="A119" s="3" t="n"/>
      <c r="B119" s="4" t="n"/>
      <c r="C119" s="5" t="n"/>
      <c r="D119" s="5" t="n"/>
      <c r="E119" s="4" t="n"/>
      <c r="F119" s="4" t="n"/>
      <c r="G119" s="4" t="n"/>
      <c r="H119" s="4">
        <f>IF(E119="","",IF(E119="Conforme","OK",IF(G119="Sim","RESOLVIDA",IF(E119="NC critica","NC CRITICA ABERTA","PENDENTE"))))</f>
        <v/>
      </c>
      <c r="I119" s="5" t="n"/>
    </row>
    <row r="120">
      <c r="A120" s="6" t="n"/>
      <c r="B120" s="7" t="n"/>
      <c r="C120" s="8" t="n"/>
      <c r="D120" s="8" t="n"/>
      <c r="E120" s="7" t="n"/>
      <c r="F120" s="7" t="n"/>
      <c r="G120" s="7" t="n"/>
      <c r="H120" s="7">
        <f>IF(E120="","",IF(E120="Conforme","OK",IF(G120="Sim","RESOLVIDA",IF(E120="NC critica","NC CRITICA ABERTA","PENDENTE"))))</f>
        <v/>
      </c>
      <c r="I120" s="8" t="n"/>
    </row>
    <row r="121">
      <c r="A121" s="3" t="n"/>
      <c r="B121" s="4" t="n"/>
      <c r="C121" s="5" t="n"/>
      <c r="D121" s="5" t="n"/>
      <c r="E121" s="4" t="n"/>
      <c r="F121" s="4" t="n"/>
      <c r="G121" s="4" t="n"/>
      <c r="H121" s="4">
        <f>IF(E121="","",IF(E121="Conforme","OK",IF(G121="Sim","RESOLVIDA",IF(E121="NC critica","NC CRITICA ABERTA","PENDENTE"))))</f>
        <v/>
      </c>
      <c r="I121" s="5" t="n"/>
    </row>
    <row r="122">
      <c r="A122" s="6" t="n"/>
      <c r="B122" s="7" t="n"/>
      <c r="C122" s="8" t="n"/>
      <c r="D122" s="8" t="n"/>
      <c r="E122" s="7" t="n"/>
      <c r="F122" s="7" t="n"/>
      <c r="G122" s="7" t="n"/>
      <c r="H122" s="7">
        <f>IF(E122="","",IF(E122="Conforme","OK",IF(G122="Sim","RESOLVIDA",IF(E122="NC critica","NC CRITICA ABERTA","PENDENTE"))))</f>
        <v/>
      </c>
      <c r="I122" s="8" t="n"/>
    </row>
    <row r="123">
      <c r="A123" s="3" t="n"/>
      <c r="B123" s="4" t="n"/>
      <c r="C123" s="5" t="n"/>
      <c r="D123" s="5" t="n"/>
      <c r="E123" s="4" t="n"/>
      <c r="F123" s="4" t="n"/>
      <c r="G123" s="4" t="n"/>
      <c r="H123" s="4">
        <f>IF(E123="","",IF(E123="Conforme","OK",IF(G123="Sim","RESOLVIDA",IF(E123="NC critica","NC CRITICA ABERTA","PENDENTE"))))</f>
        <v/>
      </c>
      <c r="I123" s="5" t="n"/>
    </row>
    <row r="124">
      <c r="A124" s="6" t="n"/>
      <c r="B124" s="7" t="n"/>
      <c r="C124" s="8" t="n"/>
      <c r="D124" s="8" t="n"/>
      <c r="E124" s="7" t="n"/>
      <c r="F124" s="7" t="n"/>
      <c r="G124" s="7" t="n"/>
      <c r="H124" s="7">
        <f>IF(E124="","",IF(E124="Conforme","OK",IF(G124="Sim","RESOLVIDA",IF(E124="NC critica","NC CRITICA ABERTA","PENDENTE"))))</f>
        <v/>
      </c>
      <c r="I124" s="8" t="n"/>
    </row>
    <row r="125">
      <c r="A125" s="3" t="n"/>
      <c r="B125" s="4" t="n"/>
      <c r="C125" s="5" t="n"/>
      <c r="D125" s="5" t="n"/>
      <c r="E125" s="4" t="n"/>
      <c r="F125" s="4" t="n"/>
      <c r="G125" s="4" t="n"/>
      <c r="H125" s="4">
        <f>IF(E125="","",IF(E125="Conforme","OK",IF(G125="Sim","RESOLVIDA",IF(E125="NC critica","NC CRITICA ABERTA","PENDENTE"))))</f>
        <v/>
      </c>
      <c r="I125" s="5" t="n"/>
    </row>
    <row r="126">
      <c r="A126" s="6" t="n"/>
      <c r="B126" s="7" t="n"/>
      <c r="C126" s="8" t="n"/>
      <c r="D126" s="8" t="n"/>
      <c r="E126" s="7" t="n"/>
      <c r="F126" s="7" t="n"/>
      <c r="G126" s="7" t="n"/>
      <c r="H126" s="7">
        <f>IF(E126="","",IF(E126="Conforme","OK",IF(G126="Sim","RESOLVIDA",IF(E126="NC critica","NC CRITICA ABERTA","PENDENTE"))))</f>
        <v/>
      </c>
      <c r="I126" s="8" t="n"/>
    </row>
    <row r="127">
      <c r="A127" s="3" t="n"/>
      <c r="B127" s="4" t="n"/>
      <c r="C127" s="5" t="n"/>
      <c r="D127" s="5" t="n"/>
      <c r="E127" s="4" t="n"/>
      <c r="F127" s="4" t="n"/>
      <c r="G127" s="4" t="n"/>
      <c r="H127" s="4">
        <f>IF(E127="","",IF(E127="Conforme","OK",IF(G127="Sim","RESOLVIDA",IF(E127="NC critica","NC CRITICA ABERTA","PENDENTE"))))</f>
        <v/>
      </c>
      <c r="I127" s="5" t="n"/>
    </row>
    <row r="128">
      <c r="A128" s="6" t="n"/>
      <c r="B128" s="7" t="n"/>
      <c r="C128" s="8" t="n"/>
      <c r="D128" s="8" t="n"/>
      <c r="E128" s="7" t="n"/>
      <c r="F128" s="7" t="n"/>
      <c r="G128" s="7" t="n"/>
      <c r="H128" s="7">
        <f>IF(E128="","",IF(E128="Conforme","OK",IF(G128="Sim","RESOLVIDA",IF(E128="NC critica","NC CRITICA ABERTA","PENDENTE"))))</f>
        <v/>
      </c>
      <c r="I128" s="8" t="n"/>
    </row>
    <row r="129">
      <c r="A129" s="3" t="n"/>
      <c r="B129" s="4" t="n"/>
      <c r="C129" s="5" t="n"/>
      <c r="D129" s="5" t="n"/>
      <c r="E129" s="4" t="n"/>
      <c r="F129" s="4" t="n"/>
      <c r="G129" s="4" t="n"/>
      <c r="H129" s="4">
        <f>IF(E129="","",IF(E129="Conforme","OK",IF(G129="Sim","RESOLVIDA",IF(E129="NC critica","NC CRITICA ABERTA","PENDENTE"))))</f>
        <v/>
      </c>
      <c r="I129" s="5" t="n"/>
    </row>
    <row r="130">
      <c r="A130" s="6" t="n"/>
      <c r="B130" s="7" t="n"/>
      <c r="C130" s="8" t="n"/>
      <c r="D130" s="8" t="n"/>
      <c r="E130" s="7" t="n"/>
      <c r="F130" s="7" t="n"/>
      <c r="G130" s="7" t="n"/>
      <c r="H130" s="7">
        <f>IF(E130="","",IF(E130="Conforme","OK",IF(G130="Sim","RESOLVIDA",IF(E130="NC critica","NC CRITICA ABERTA","PENDENTE"))))</f>
        <v/>
      </c>
      <c r="I130" s="8" t="n"/>
    </row>
    <row r="131">
      <c r="A131" s="3" t="n"/>
      <c r="B131" s="4" t="n"/>
      <c r="C131" s="5" t="n"/>
      <c r="D131" s="5" t="n"/>
      <c r="E131" s="4" t="n"/>
      <c r="F131" s="4" t="n"/>
      <c r="G131" s="4" t="n"/>
      <c r="H131" s="4">
        <f>IF(E131="","",IF(E131="Conforme","OK",IF(G131="Sim","RESOLVIDA",IF(E131="NC critica","NC CRITICA ABERTA","PENDENTE"))))</f>
        <v/>
      </c>
      <c r="I131" s="5" t="n"/>
    </row>
    <row r="132">
      <c r="A132" s="6" t="n"/>
      <c r="B132" s="7" t="n"/>
      <c r="C132" s="8" t="n"/>
      <c r="D132" s="8" t="n"/>
      <c r="E132" s="7" t="n"/>
      <c r="F132" s="7" t="n"/>
      <c r="G132" s="7" t="n"/>
      <c r="H132" s="7">
        <f>IF(E132="","",IF(E132="Conforme","OK",IF(G132="Sim","RESOLVIDA",IF(E132="NC critica","NC CRITICA ABERTA","PENDENTE"))))</f>
        <v/>
      </c>
      <c r="I132" s="8" t="n"/>
    </row>
    <row r="133">
      <c r="A133" s="3" t="n"/>
      <c r="B133" s="4" t="n"/>
      <c r="C133" s="5" t="n"/>
      <c r="D133" s="5" t="n"/>
      <c r="E133" s="4" t="n"/>
      <c r="F133" s="4" t="n"/>
      <c r="G133" s="4" t="n"/>
      <c r="H133" s="4">
        <f>IF(E133="","",IF(E133="Conforme","OK",IF(G133="Sim","RESOLVIDA",IF(E133="NC critica","NC CRITICA ABERTA","PENDENTE"))))</f>
        <v/>
      </c>
      <c r="I133" s="5" t="n"/>
    </row>
    <row r="134">
      <c r="A134" s="6" t="n"/>
      <c r="B134" s="7" t="n"/>
      <c r="C134" s="8" t="n"/>
      <c r="D134" s="8" t="n"/>
      <c r="E134" s="7" t="n"/>
      <c r="F134" s="7" t="n"/>
      <c r="G134" s="7" t="n"/>
      <c r="H134" s="7">
        <f>IF(E134="","",IF(E134="Conforme","OK",IF(G134="Sim","RESOLVIDA",IF(E134="NC critica","NC CRITICA ABERTA","PENDENTE"))))</f>
        <v/>
      </c>
      <c r="I134" s="8" t="n"/>
    </row>
    <row r="135">
      <c r="A135" s="3" t="n"/>
      <c r="B135" s="4" t="n"/>
      <c r="C135" s="5" t="n"/>
      <c r="D135" s="5" t="n"/>
      <c r="E135" s="4" t="n"/>
      <c r="F135" s="4" t="n"/>
      <c r="G135" s="4" t="n"/>
      <c r="H135" s="4">
        <f>IF(E135="","",IF(E135="Conforme","OK",IF(G135="Sim","RESOLVIDA",IF(E135="NC critica","NC CRITICA ABERTA","PENDENTE"))))</f>
        <v/>
      </c>
      <c r="I135" s="5" t="n"/>
    </row>
    <row r="136">
      <c r="A136" s="6" t="n"/>
      <c r="B136" s="7" t="n"/>
      <c r="C136" s="8" t="n"/>
      <c r="D136" s="8" t="n"/>
      <c r="E136" s="7" t="n"/>
      <c r="F136" s="7" t="n"/>
      <c r="G136" s="7" t="n"/>
      <c r="H136" s="7">
        <f>IF(E136="","",IF(E136="Conforme","OK",IF(G136="Sim","RESOLVIDA",IF(E136="NC critica","NC CRITICA ABERTA","PENDENTE"))))</f>
        <v/>
      </c>
      <c r="I136" s="8" t="n"/>
    </row>
    <row r="137">
      <c r="A137" s="3" t="n"/>
      <c r="B137" s="4" t="n"/>
      <c r="C137" s="5" t="n"/>
      <c r="D137" s="5" t="n"/>
      <c r="E137" s="4" t="n"/>
      <c r="F137" s="4" t="n"/>
      <c r="G137" s="4" t="n"/>
      <c r="H137" s="4">
        <f>IF(E137="","",IF(E137="Conforme","OK",IF(G137="Sim","RESOLVIDA",IF(E137="NC critica","NC CRITICA ABERTA","PENDENTE"))))</f>
        <v/>
      </c>
      <c r="I137" s="5" t="n"/>
    </row>
    <row r="138">
      <c r="A138" s="6" t="n"/>
      <c r="B138" s="7" t="n"/>
      <c r="C138" s="8" t="n"/>
      <c r="D138" s="8" t="n"/>
      <c r="E138" s="7" t="n"/>
      <c r="F138" s="7" t="n"/>
      <c r="G138" s="7" t="n"/>
      <c r="H138" s="7">
        <f>IF(E138="","",IF(E138="Conforme","OK",IF(G138="Sim","RESOLVIDA",IF(E138="NC critica","NC CRITICA ABERTA","PENDENTE"))))</f>
        <v/>
      </c>
      <c r="I138" s="8" t="n"/>
    </row>
    <row r="139">
      <c r="A139" s="3" t="n"/>
      <c r="B139" s="4" t="n"/>
      <c r="C139" s="5" t="n"/>
      <c r="D139" s="5" t="n"/>
      <c r="E139" s="4" t="n"/>
      <c r="F139" s="4" t="n"/>
      <c r="G139" s="4" t="n"/>
      <c r="H139" s="4">
        <f>IF(E139="","",IF(E139="Conforme","OK",IF(G139="Sim","RESOLVIDA",IF(E139="NC critica","NC CRITICA ABERTA","PENDENTE"))))</f>
        <v/>
      </c>
      <c r="I139" s="5" t="n"/>
    </row>
    <row r="140">
      <c r="A140" s="6" t="n"/>
      <c r="B140" s="7" t="n"/>
      <c r="C140" s="8" t="n"/>
      <c r="D140" s="8" t="n"/>
      <c r="E140" s="7" t="n"/>
      <c r="F140" s="7" t="n"/>
      <c r="G140" s="7" t="n"/>
      <c r="H140" s="7">
        <f>IF(E140="","",IF(E140="Conforme","OK",IF(G140="Sim","RESOLVIDA",IF(E140="NC critica","NC CRITICA ABERTA","PENDENTE"))))</f>
        <v/>
      </c>
      <c r="I140" s="8" t="n"/>
    </row>
    <row r="141">
      <c r="A141" s="3" t="n"/>
      <c r="B141" s="4" t="n"/>
      <c r="C141" s="5" t="n"/>
      <c r="D141" s="5" t="n"/>
      <c r="E141" s="4" t="n"/>
      <c r="F141" s="4" t="n"/>
      <c r="G141" s="4" t="n"/>
      <c r="H141" s="4">
        <f>IF(E141="","",IF(E141="Conforme","OK",IF(G141="Sim","RESOLVIDA",IF(E141="NC critica","NC CRITICA ABERTA","PENDENTE"))))</f>
        <v/>
      </c>
      <c r="I141" s="5" t="n"/>
    </row>
    <row r="142">
      <c r="A142" s="6" t="n"/>
      <c r="B142" s="7" t="n"/>
      <c r="C142" s="8" t="n"/>
      <c r="D142" s="8" t="n"/>
      <c r="E142" s="7" t="n"/>
      <c r="F142" s="7" t="n"/>
      <c r="G142" s="7" t="n"/>
      <c r="H142" s="7">
        <f>IF(E142="","",IF(E142="Conforme","OK",IF(G142="Sim","RESOLVIDA",IF(E142="NC critica","NC CRITICA ABERTA","PENDENTE"))))</f>
        <v/>
      </c>
      <c r="I142" s="8" t="n"/>
    </row>
    <row r="143">
      <c r="A143" s="3" t="n"/>
      <c r="B143" s="4" t="n"/>
      <c r="C143" s="5" t="n"/>
      <c r="D143" s="5" t="n"/>
      <c r="E143" s="4" t="n"/>
      <c r="F143" s="4" t="n"/>
      <c r="G143" s="4" t="n"/>
      <c r="H143" s="4">
        <f>IF(E143="","",IF(E143="Conforme","OK",IF(G143="Sim","RESOLVIDA",IF(E143="NC critica","NC CRITICA ABERTA","PENDENTE"))))</f>
        <v/>
      </c>
      <c r="I143" s="5" t="n"/>
    </row>
    <row r="144">
      <c r="A144" s="6" t="n"/>
      <c r="B144" s="7" t="n"/>
      <c r="C144" s="8" t="n"/>
      <c r="D144" s="8" t="n"/>
      <c r="E144" s="7" t="n"/>
      <c r="F144" s="7" t="n"/>
      <c r="G144" s="7" t="n"/>
      <c r="H144" s="7">
        <f>IF(E144="","",IF(E144="Conforme","OK",IF(G144="Sim","RESOLVIDA",IF(E144="NC critica","NC CRITICA ABERTA","PENDENTE"))))</f>
        <v/>
      </c>
      <c r="I144" s="8" t="n"/>
    </row>
    <row r="145">
      <c r="A145" s="3" t="n"/>
      <c r="B145" s="4" t="n"/>
      <c r="C145" s="5" t="n"/>
      <c r="D145" s="5" t="n"/>
      <c r="E145" s="4" t="n"/>
      <c r="F145" s="4" t="n"/>
      <c r="G145" s="4" t="n"/>
      <c r="H145" s="4">
        <f>IF(E145="","",IF(E145="Conforme","OK",IF(G145="Sim","RESOLVIDA",IF(E145="NC critica","NC CRITICA ABERTA","PENDENTE"))))</f>
        <v/>
      </c>
      <c r="I145" s="5" t="n"/>
    </row>
    <row r="146">
      <c r="A146" s="6" t="n"/>
      <c r="B146" s="7" t="n"/>
      <c r="C146" s="8" t="n"/>
      <c r="D146" s="8" t="n"/>
      <c r="E146" s="7" t="n"/>
      <c r="F146" s="7" t="n"/>
      <c r="G146" s="7" t="n"/>
      <c r="H146" s="7">
        <f>IF(E146="","",IF(E146="Conforme","OK",IF(G146="Sim","RESOLVIDA",IF(E146="NC critica","NC CRITICA ABERTA","PENDENTE"))))</f>
        <v/>
      </c>
      <c r="I146" s="8" t="n"/>
    </row>
    <row r="147">
      <c r="A147" s="3" t="n"/>
      <c r="B147" s="4" t="n"/>
      <c r="C147" s="5" t="n"/>
      <c r="D147" s="5" t="n"/>
      <c r="E147" s="4" t="n"/>
      <c r="F147" s="4" t="n"/>
      <c r="G147" s="4" t="n"/>
      <c r="H147" s="4">
        <f>IF(E147="","",IF(E147="Conforme","OK",IF(G147="Sim","RESOLVIDA",IF(E147="NC critica","NC CRITICA ABERTA","PENDENTE"))))</f>
        <v/>
      </c>
      <c r="I147" s="5" t="n"/>
    </row>
    <row r="148">
      <c r="A148" s="6" t="n"/>
      <c r="B148" s="7" t="n"/>
      <c r="C148" s="8" t="n"/>
      <c r="D148" s="8" t="n"/>
      <c r="E148" s="7" t="n"/>
      <c r="F148" s="7" t="n"/>
      <c r="G148" s="7" t="n"/>
      <c r="H148" s="7">
        <f>IF(E148="","",IF(E148="Conforme","OK",IF(G148="Sim","RESOLVIDA",IF(E148="NC critica","NC CRITICA ABERTA","PENDENTE"))))</f>
        <v/>
      </c>
      <c r="I148" s="8" t="n"/>
    </row>
    <row r="149">
      <c r="A149" s="3" t="n"/>
      <c r="B149" s="4" t="n"/>
      <c r="C149" s="5" t="n"/>
      <c r="D149" s="5" t="n"/>
      <c r="E149" s="4" t="n"/>
      <c r="F149" s="4" t="n"/>
      <c r="G149" s="4" t="n"/>
      <c r="H149" s="4">
        <f>IF(E149="","",IF(E149="Conforme","OK",IF(G149="Sim","RESOLVIDA",IF(E149="NC critica","NC CRITICA ABERTA","PENDENTE"))))</f>
        <v/>
      </c>
      <c r="I149" s="5" t="n"/>
    </row>
    <row r="150">
      <c r="A150" s="6" t="n"/>
      <c r="B150" s="7" t="n"/>
      <c r="C150" s="8" t="n"/>
      <c r="D150" s="8" t="n"/>
      <c r="E150" s="7" t="n"/>
      <c r="F150" s="7" t="n"/>
      <c r="G150" s="7" t="n"/>
      <c r="H150" s="7">
        <f>IF(E150="","",IF(E150="Conforme","OK",IF(G150="Sim","RESOLVIDA",IF(E150="NC critica","NC CRITICA ABERTA","PENDENTE"))))</f>
        <v/>
      </c>
      <c r="I150" s="8" t="n"/>
    </row>
    <row r="151">
      <c r="A151" s="3" t="n"/>
      <c r="B151" s="4" t="n"/>
      <c r="C151" s="5" t="n"/>
      <c r="D151" s="5" t="n"/>
      <c r="E151" s="4" t="n"/>
      <c r="F151" s="4" t="n"/>
      <c r="G151" s="4" t="n"/>
      <c r="H151" s="4">
        <f>IF(E151="","",IF(E151="Conforme","OK",IF(G151="Sim","RESOLVIDA",IF(E151="NC critica","NC CRITICA ABERTA","PENDENTE"))))</f>
        <v/>
      </c>
      <c r="I151" s="5" t="n"/>
    </row>
    <row r="152">
      <c r="A152" s="6" t="n"/>
      <c r="B152" s="7" t="n"/>
      <c r="C152" s="8" t="n"/>
      <c r="D152" s="8" t="n"/>
      <c r="E152" s="7" t="n"/>
      <c r="F152" s="7" t="n"/>
      <c r="G152" s="7" t="n"/>
      <c r="H152" s="7">
        <f>IF(E152="","",IF(E152="Conforme","OK",IF(G152="Sim","RESOLVIDA",IF(E152="NC critica","NC CRITICA ABERTA","PENDENTE"))))</f>
        <v/>
      </c>
      <c r="I152" s="8" t="n"/>
    </row>
    <row r="153">
      <c r="A153" s="3" t="n"/>
      <c r="B153" s="4" t="n"/>
      <c r="C153" s="5" t="n"/>
      <c r="D153" s="5" t="n"/>
      <c r="E153" s="4" t="n"/>
      <c r="F153" s="4" t="n"/>
      <c r="G153" s="4" t="n"/>
      <c r="H153" s="4">
        <f>IF(E153="","",IF(E153="Conforme","OK",IF(G153="Sim","RESOLVIDA",IF(E153="NC critica","NC CRITICA ABERTA","PENDENTE"))))</f>
        <v/>
      </c>
      <c r="I153" s="5" t="n"/>
    </row>
    <row r="154">
      <c r="A154" s="6" t="n"/>
      <c r="B154" s="7" t="n"/>
      <c r="C154" s="8" t="n"/>
      <c r="D154" s="8" t="n"/>
      <c r="E154" s="7" t="n"/>
      <c r="F154" s="7" t="n"/>
      <c r="G154" s="7" t="n"/>
      <c r="H154" s="7">
        <f>IF(E154="","",IF(E154="Conforme","OK",IF(G154="Sim","RESOLVIDA",IF(E154="NC critica","NC CRITICA ABERTA","PENDENTE"))))</f>
        <v/>
      </c>
      <c r="I154" s="8" t="n"/>
    </row>
    <row r="155">
      <c r="A155" s="3" t="n"/>
      <c r="B155" s="4" t="n"/>
      <c r="C155" s="5" t="n"/>
      <c r="D155" s="5" t="n"/>
      <c r="E155" s="4" t="n"/>
      <c r="F155" s="4" t="n"/>
      <c r="G155" s="4" t="n"/>
      <c r="H155" s="4">
        <f>IF(E155="","",IF(E155="Conforme","OK",IF(G155="Sim","RESOLVIDA",IF(E155="NC critica","NC CRITICA ABERTA","PENDENTE"))))</f>
        <v/>
      </c>
      <c r="I155" s="5" t="n"/>
    </row>
    <row r="156">
      <c r="A156" s="6" t="n"/>
      <c r="B156" s="7" t="n"/>
      <c r="C156" s="8" t="n"/>
      <c r="D156" s="8" t="n"/>
      <c r="E156" s="7" t="n"/>
      <c r="F156" s="7" t="n"/>
      <c r="G156" s="7" t="n"/>
      <c r="H156" s="7">
        <f>IF(E156="","",IF(E156="Conforme","OK",IF(G156="Sim","RESOLVIDA",IF(E156="NC critica","NC CRITICA ABERTA","PENDENTE"))))</f>
        <v/>
      </c>
      <c r="I156" s="8" t="n"/>
    </row>
    <row r="157">
      <c r="A157" s="3" t="n"/>
      <c r="B157" s="4" t="n"/>
      <c r="C157" s="5" t="n"/>
      <c r="D157" s="5" t="n"/>
      <c r="E157" s="4" t="n"/>
      <c r="F157" s="4" t="n"/>
      <c r="G157" s="4" t="n"/>
      <c r="H157" s="4">
        <f>IF(E157="","",IF(E157="Conforme","OK",IF(G157="Sim","RESOLVIDA",IF(E157="NC critica","NC CRITICA ABERTA","PENDENTE"))))</f>
        <v/>
      </c>
      <c r="I157" s="5" t="n"/>
    </row>
    <row r="158">
      <c r="A158" s="6" t="n"/>
      <c r="B158" s="7" t="n"/>
      <c r="C158" s="8" t="n"/>
      <c r="D158" s="8" t="n"/>
      <c r="E158" s="7" t="n"/>
      <c r="F158" s="7" t="n"/>
      <c r="G158" s="7" t="n"/>
      <c r="H158" s="7">
        <f>IF(E158="","",IF(E158="Conforme","OK",IF(G158="Sim","RESOLVIDA",IF(E158="NC critica","NC CRITICA ABERTA","PENDENTE"))))</f>
        <v/>
      </c>
      <c r="I158" s="8" t="n"/>
    </row>
    <row r="159">
      <c r="A159" s="3" t="n"/>
      <c r="B159" s="4" t="n"/>
      <c r="C159" s="5" t="n"/>
      <c r="D159" s="5" t="n"/>
      <c r="E159" s="4" t="n"/>
      <c r="F159" s="4" t="n"/>
      <c r="G159" s="4" t="n"/>
      <c r="H159" s="4">
        <f>IF(E159="","",IF(E159="Conforme","OK",IF(G159="Sim","RESOLVIDA",IF(E159="NC critica","NC CRITICA ABERTA","PENDENTE"))))</f>
        <v/>
      </c>
      <c r="I159" s="5" t="n"/>
    </row>
    <row r="160">
      <c r="A160" s="6" t="n"/>
      <c r="B160" s="7" t="n"/>
      <c r="C160" s="8" t="n"/>
      <c r="D160" s="8" t="n"/>
      <c r="E160" s="7" t="n"/>
      <c r="F160" s="7" t="n"/>
      <c r="G160" s="7" t="n"/>
      <c r="H160" s="7">
        <f>IF(E160="","",IF(E160="Conforme","OK",IF(G160="Sim","RESOLVIDA",IF(E160="NC critica","NC CRITICA ABERTA","PENDENTE"))))</f>
        <v/>
      </c>
      <c r="I160" s="8" t="n"/>
    </row>
    <row r="161">
      <c r="A161" s="3" t="n"/>
      <c r="B161" s="4" t="n"/>
      <c r="C161" s="5" t="n"/>
      <c r="D161" s="5" t="n"/>
      <c r="E161" s="4" t="n"/>
      <c r="F161" s="4" t="n"/>
      <c r="G161" s="4" t="n"/>
      <c r="H161" s="4">
        <f>IF(E161="","",IF(E161="Conforme","OK",IF(G161="Sim","RESOLVIDA",IF(E161="NC critica","NC CRITICA ABERTA","PENDENTE"))))</f>
        <v/>
      </c>
      <c r="I161" s="5" t="n"/>
    </row>
    <row r="162">
      <c r="A162" s="6" t="n"/>
      <c r="B162" s="7" t="n"/>
      <c r="C162" s="8" t="n"/>
      <c r="D162" s="8" t="n"/>
      <c r="E162" s="7" t="n"/>
      <c r="F162" s="7" t="n"/>
      <c r="G162" s="7" t="n"/>
      <c r="H162" s="7">
        <f>IF(E162="","",IF(E162="Conforme","OK",IF(G162="Sim","RESOLVIDA",IF(E162="NC critica","NC CRITICA ABERTA","PENDENTE"))))</f>
        <v/>
      </c>
      <c r="I162" s="8" t="n"/>
    </row>
    <row r="163">
      <c r="A163" s="3" t="n"/>
      <c r="B163" s="4" t="n"/>
      <c r="C163" s="5" t="n"/>
      <c r="D163" s="5" t="n"/>
      <c r="E163" s="4" t="n"/>
      <c r="F163" s="4" t="n"/>
      <c r="G163" s="4" t="n"/>
      <c r="H163" s="4">
        <f>IF(E163="","",IF(E163="Conforme","OK",IF(G163="Sim","RESOLVIDA",IF(E163="NC critica","NC CRITICA ABERTA","PENDENTE"))))</f>
        <v/>
      </c>
      <c r="I163" s="5" t="n"/>
    </row>
    <row r="164">
      <c r="A164" s="6" t="n"/>
      <c r="B164" s="7" t="n"/>
      <c r="C164" s="8" t="n"/>
      <c r="D164" s="8" t="n"/>
      <c r="E164" s="7" t="n"/>
      <c r="F164" s="7" t="n"/>
      <c r="G164" s="7" t="n"/>
      <c r="H164" s="7">
        <f>IF(E164="","",IF(E164="Conforme","OK",IF(G164="Sim","RESOLVIDA",IF(E164="NC critica","NC CRITICA ABERTA","PENDENTE"))))</f>
        <v/>
      </c>
      <c r="I164" s="8" t="n"/>
    </row>
    <row r="165">
      <c r="A165" s="3" t="n"/>
      <c r="B165" s="4" t="n"/>
      <c r="C165" s="5" t="n"/>
      <c r="D165" s="5" t="n"/>
      <c r="E165" s="4" t="n"/>
      <c r="F165" s="4" t="n"/>
      <c r="G165" s="4" t="n"/>
      <c r="H165" s="4">
        <f>IF(E165="","",IF(E165="Conforme","OK",IF(G165="Sim","RESOLVIDA",IF(E165="NC critica","NC CRITICA ABERTA","PENDENTE"))))</f>
        <v/>
      </c>
      <c r="I165" s="5" t="n"/>
    </row>
    <row r="166">
      <c r="A166" s="6" t="n"/>
      <c r="B166" s="7" t="n"/>
      <c r="C166" s="8" t="n"/>
      <c r="D166" s="8" t="n"/>
      <c r="E166" s="7" t="n"/>
      <c r="F166" s="7" t="n"/>
      <c r="G166" s="7" t="n"/>
      <c r="H166" s="7">
        <f>IF(E166="","",IF(E166="Conforme","OK",IF(G166="Sim","RESOLVIDA",IF(E166="NC critica","NC CRITICA ABERTA","PENDENTE"))))</f>
        <v/>
      </c>
      <c r="I166" s="8" t="n"/>
    </row>
    <row r="167">
      <c r="A167" s="3" t="n"/>
      <c r="B167" s="4" t="n"/>
      <c r="C167" s="5" t="n"/>
      <c r="D167" s="5" t="n"/>
      <c r="E167" s="4" t="n"/>
      <c r="F167" s="4" t="n"/>
      <c r="G167" s="4" t="n"/>
      <c r="H167" s="4">
        <f>IF(E167="","",IF(E167="Conforme","OK",IF(G167="Sim","RESOLVIDA",IF(E167="NC critica","NC CRITICA ABERTA","PENDENTE"))))</f>
        <v/>
      </c>
      <c r="I167" s="5" t="n"/>
    </row>
    <row r="168">
      <c r="A168" s="6" t="n"/>
      <c r="B168" s="7" t="n"/>
      <c r="C168" s="8" t="n"/>
      <c r="D168" s="8" t="n"/>
      <c r="E168" s="7" t="n"/>
      <c r="F168" s="7" t="n"/>
      <c r="G168" s="7" t="n"/>
      <c r="H168" s="7">
        <f>IF(E168="","",IF(E168="Conforme","OK",IF(G168="Sim","RESOLVIDA",IF(E168="NC critica","NC CRITICA ABERTA","PENDENTE"))))</f>
        <v/>
      </c>
      <c r="I168" s="8" t="n"/>
    </row>
    <row r="169">
      <c r="A169" s="3" t="n"/>
      <c r="B169" s="4" t="n"/>
      <c r="C169" s="5" t="n"/>
      <c r="D169" s="5" t="n"/>
      <c r="E169" s="4" t="n"/>
      <c r="F169" s="4" t="n"/>
      <c r="G169" s="4" t="n"/>
      <c r="H169" s="4">
        <f>IF(E169="","",IF(E169="Conforme","OK",IF(G169="Sim","RESOLVIDA",IF(E169="NC critica","NC CRITICA ABERTA","PENDENTE"))))</f>
        <v/>
      </c>
      <c r="I169" s="5" t="n"/>
    </row>
    <row r="170">
      <c r="A170" s="6" t="n"/>
      <c r="B170" s="7" t="n"/>
      <c r="C170" s="8" t="n"/>
      <c r="D170" s="8" t="n"/>
      <c r="E170" s="7" t="n"/>
      <c r="F170" s="7" t="n"/>
      <c r="G170" s="7" t="n"/>
      <c r="H170" s="7">
        <f>IF(E170="","",IF(E170="Conforme","OK",IF(G170="Sim","RESOLVIDA",IF(E170="NC critica","NC CRITICA ABERTA","PENDENTE"))))</f>
        <v/>
      </c>
      <c r="I170" s="8" t="n"/>
    </row>
    <row r="171">
      <c r="A171" s="3" t="n"/>
      <c r="B171" s="4" t="n"/>
      <c r="C171" s="5" t="n"/>
      <c r="D171" s="5" t="n"/>
      <c r="E171" s="4" t="n"/>
      <c r="F171" s="4" t="n"/>
      <c r="G171" s="4" t="n"/>
      <c r="H171" s="4">
        <f>IF(E171="","",IF(E171="Conforme","OK",IF(G171="Sim","RESOLVIDA",IF(E171="NC critica","NC CRITICA ABERTA","PENDENTE"))))</f>
        <v/>
      </c>
      <c r="I171" s="5" t="n"/>
    </row>
    <row r="172">
      <c r="A172" s="6" t="n"/>
      <c r="B172" s="7" t="n"/>
      <c r="C172" s="8" t="n"/>
      <c r="D172" s="8" t="n"/>
      <c r="E172" s="7" t="n"/>
      <c r="F172" s="7" t="n"/>
      <c r="G172" s="7" t="n"/>
      <c r="H172" s="7">
        <f>IF(E172="","",IF(E172="Conforme","OK",IF(G172="Sim","RESOLVIDA",IF(E172="NC critica","NC CRITICA ABERTA","PENDENTE"))))</f>
        <v/>
      </c>
      <c r="I172" s="8" t="n"/>
    </row>
    <row r="173">
      <c r="A173" s="3" t="n"/>
      <c r="B173" s="4" t="n"/>
      <c r="C173" s="5" t="n"/>
      <c r="D173" s="5" t="n"/>
      <c r="E173" s="4" t="n"/>
      <c r="F173" s="4" t="n"/>
      <c r="G173" s="4" t="n"/>
      <c r="H173" s="4">
        <f>IF(E173="","",IF(E173="Conforme","OK",IF(G173="Sim","RESOLVIDA",IF(E173="NC critica","NC CRITICA ABERTA","PENDENTE"))))</f>
        <v/>
      </c>
      <c r="I173" s="5" t="n"/>
    </row>
    <row r="174">
      <c r="A174" s="6" t="n"/>
      <c r="B174" s="7" t="n"/>
      <c r="C174" s="8" t="n"/>
      <c r="D174" s="8" t="n"/>
      <c r="E174" s="7" t="n"/>
      <c r="F174" s="7" t="n"/>
      <c r="G174" s="7" t="n"/>
      <c r="H174" s="7">
        <f>IF(E174="","",IF(E174="Conforme","OK",IF(G174="Sim","RESOLVIDA",IF(E174="NC critica","NC CRITICA ABERTA","PENDENTE"))))</f>
        <v/>
      </c>
      <c r="I174" s="8" t="n"/>
    </row>
    <row r="175">
      <c r="A175" s="3" t="n"/>
      <c r="B175" s="4" t="n"/>
      <c r="C175" s="5" t="n"/>
      <c r="D175" s="5" t="n"/>
      <c r="E175" s="4" t="n"/>
      <c r="F175" s="4" t="n"/>
      <c r="G175" s="4" t="n"/>
      <c r="H175" s="4">
        <f>IF(E175="","",IF(E175="Conforme","OK",IF(G175="Sim","RESOLVIDA",IF(E175="NC critica","NC CRITICA ABERTA","PENDENTE"))))</f>
        <v/>
      </c>
      <c r="I175" s="5" t="n"/>
    </row>
    <row r="176">
      <c r="A176" s="6" t="n"/>
      <c r="B176" s="7" t="n"/>
      <c r="C176" s="8" t="n"/>
      <c r="D176" s="8" t="n"/>
      <c r="E176" s="7" t="n"/>
      <c r="F176" s="7" t="n"/>
      <c r="G176" s="7" t="n"/>
      <c r="H176" s="7">
        <f>IF(E176="","",IF(E176="Conforme","OK",IF(G176="Sim","RESOLVIDA",IF(E176="NC critica","NC CRITICA ABERTA","PENDENTE"))))</f>
        <v/>
      </c>
      <c r="I176" s="8" t="n"/>
    </row>
    <row r="177">
      <c r="A177" s="3" t="n"/>
      <c r="B177" s="4" t="n"/>
      <c r="C177" s="5" t="n"/>
      <c r="D177" s="5" t="n"/>
      <c r="E177" s="4" t="n"/>
      <c r="F177" s="4" t="n"/>
      <c r="G177" s="4" t="n"/>
      <c r="H177" s="4">
        <f>IF(E177="","",IF(E177="Conforme","OK",IF(G177="Sim","RESOLVIDA",IF(E177="NC critica","NC CRITICA ABERTA","PENDENTE"))))</f>
        <v/>
      </c>
      <c r="I177" s="5" t="n"/>
    </row>
    <row r="178">
      <c r="A178" s="6" t="n"/>
      <c r="B178" s="7" t="n"/>
      <c r="C178" s="8" t="n"/>
      <c r="D178" s="8" t="n"/>
      <c r="E178" s="7" t="n"/>
      <c r="F178" s="7" t="n"/>
      <c r="G178" s="7" t="n"/>
      <c r="H178" s="7">
        <f>IF(E178="","",IF(E178="Conforme","OK",IF(G178="Sim","RESOLVIDA",IF(E178="NC critica","NC CRITICA ABERTA","PENDENTE"))))</f>
        <v/>
      </c>
      <c r="I178" s="8" t="n"/>
    </row>
    <row r="179">
      <c r="A179" s="3" t="n"/>
      <c r="B179" s="4" t="n"/>
      <c r="C179" s="5" t="n"/>
      <c r="D179" s="5" t="n"/>
      <c r="E179" s="4" t="n"/>
      <c r="F179" s="4" t="n"/>
      <c r="G179" s="4" t="n"/>
      <c r="H179" s="4">
        <f>IF(E179="","",IF(E179="Conforme","OK",IF(G179="Sim","RESOLVIDA",IF(E179="NC critica","NC CRITICA ABERTA","PENDENTE"))))</f>
        <v/>
      </c>
      <c r="I179" s="5" t="n"/>
    </row>
    <row r="180">
      <c r="A180" s="6" t="n"/>
      <c r="B180" s="7" t="n"/>
      <c r="C180" s="8" t="n"/>
      <c r="D180" s="8" t="n"/>
      <c r="E180" s="7" t="n"/>
      <c r="F180" s="7" t="n"/>
      <c r="G180" s="7" t="n"/>
      <c r="H180" s="7">
        <f>IF(E180="","",IF(E180="Conforme","OK",IF(G180="Sim","RESOLVIDA",IF(E180="NC critica","NC CRITICA ABERTA","PENDENTE"))))</f>
        <v/>
      </c>
      <c r="I180" s="8" t="n"/>
    </row>
    <row r="181">
      <c r="A181" s="3" t="n"/>
      <c r="B181" s="4" t="n"/>
      <c r="C181" s="5" t="n"/>
      <c r="D181" s="5" t="n"/>
      <c r="E181" s="4" t="n"/>
      <c r="F181" s="4" t="n"/>
      <c r="G181" s="4" t="n"/>
      <c r="H181" s="4">
        <f>IF(E181="","",IF(E181="Conforme","OK",IF(G181="Sim","RESOLVIDA",IF(E181="NC critica","NC CRITICA ABERTA","PENDENTE"))))</f>
        <v/>
      </c>
      <c r="I181" s="5" t="n"/>
    </row>
    <row r="182">
      <c r="A182" s="6" t="n"/>
      <c r="B182" s="7" t="n"/>
      <c r="C182" s="8" t="n"/>
      <c r="D182" s="8" t="n"/>
      <c r="E182" s="7" t="n"/>
      <c r="F182" s="7" t="n"/>
      <c r="G182" s="7" t="n"/>
      <c r="H182" s="7">
        <f>IF(E182="","",IF(E182="Conforme","OK",IF(G182="Sim","RESOLVIDA",IF(E182="NC critica","NC CRITICA ABERTA","PENDENTE"))))</f>
        <v/>
      </c>
      <c r="I182" s="8" t="n"/>
    </row>
    <row r="183">
      <c r="A183" s="3" t="n"/>
      <c r="B183" s="4" t="n"/>
      <c r="C183" s="5" t="n"/>
      <c r="D183" s="5" t="n"/>
      <c r="E183" s="4" t="n"/>
      <c r="F183" s="4" t="n"/>
      <c r="G183" s="4" t="n"/>
      <c r="H183" s="4">
        <f>IF(E183="","",IF(E183="Conforme","OK",IF(G183="Sim","RESOLVIDA",IF(E183="NC critica","NC CRITICA ABERTA","PENDENTE"))))</f>
        <v/>
      </c>
      <c r="I183" s="5" t="n"/>
    </row>
    <row r="184">
      <c r="A184" s="6" t="n"/>
      <c r="B184" s="7" t="n"/>
      <c r="C184" s="8" t="n"/>
      <c r="D184" s="8" t="n"/>
      <c r="E184" s="7" t="n"/>
      <c r="F184" s="7" t="n"/>
      <c r="G184" s="7" t="n"/>
      <c r="H184" s="7">
        <f>IF(E184="","",IF(E184="Conforme","OK",IF(G184="Sim","RESOLVIDA",IF(E184="NC critica","NC CRITICA ABERTA","PENDENTE"))))</f>
        <v/>
      </c>
      <c r="I184" s="8" t="n"/>
    </row>
    <row r="185">
      <c r="A185" s="3" t="n"/>
      <c r="B185" s="4" t="n"/>
      <c r="C185" s="5" t="n"/>
      <c r="D185" s="5" t="n"/>
      <c r="E185" s="4" t="n"/>
      <c r="F185" s="4" t="n"/>
      <c r="G185" s="4" t="n"/>
      <c r="H185" s="4">
        <f>IF(E185="","",IF(E185="Conforme","OK",IF(G185="Sim","RESOLVIDA",IF(E185="NC critica","NC CRITICA ABERTA","PENDENTE"))))</f>
        <v/>
      </c>
      <c r="I185" s="5" t="n"/>
    </row>
    <row r="186">
      <c r="A186" s="6" t="n"/>
      <c r="B186" s="7" t="n"/>
      <c r="C186" s="8" t="n"/>
      <c r="D186" s="8" t="n"/>
      <c r="E186" s="7" t="n"/>
      <c r="F186" s="7" t="n"/>
      <c r="G186" s="7" t="n"/>
      <c r="H186" s="7">
        <f>IF(E186="","",IF(E186="Conforme","OK",IF(G186="Sim","RESOLVIDA",IF(E186="NC critica","NC CRITICA ABERTA","PENDENTE"))))</f>
        <v/>
      </c>
      <c r="I186" s="8" t="n"/>
    </row>
    <row r="187">
      <c r="A187" s="3" t="n"/>
      <c r="B187" s="4" t="n"/>
      <c r="C187" s="5" t="n"/>
      <c r="D187" s="5" t="n"/>
      <c r="E187" s="4" t="n"/>
      <c r="F187" s="4" t="n"/>
      <c r="G187" s="4" t="n"/>
      <c r="H187" s="4">
        <f>IF(E187="","",IF(E187="Conforme","OK",IF(G187="Sim","RESOLVIDA",IF(E187="NC critica","NC CRITICA ABERTA","PENDENTE"))))</f>
        <v/>
      </c>
      <c r="I187" s="5" t="n"/>
    </row>
    <row r="188">
      <c r="A188" s="6" t="n"/>
      <c r="B188" s="7" t="n"/>
      <c r="C188" s="8" t="n"/>
      <c r="D188" s="8" t="n"/>
      <c r="E188" s="7" t="n"/>
      <c r="F188" s="7" t="n"/>
      <c r="G188" s="7" t="n"/>
      <c r="H188" s="7">
        <f>IF(E188="","",IF(E188="Conforme","OK",IF(G188="Sim","RESOLVIDA",IF(E188="NC critica","NC CRITICA ABERTA","PENDENTE"))))</f>
        <v/>
      </c>
      <c r="I188" s="8" t="n"/>
    </row>
    <row r="189">
      <c r="A189" s="3" t="n"/>
      <c r="B189" s="4" t="n"/>
      <c r="C189" s="5" t="n"/>
      <c r="D189" s="5" t="n"/>
      <c r="E189" s="4" t="n"/>
      <c r="F189" s="4" t="n"/>
      <c r="G189" s="4" t="n"/>
      <c r="H189" s="4">
        <f>IF(E189="","",IF(E189="Conforme","OK",IF(G189="Sim","RESOLVIDA",IF(E189="NC critica","NC CRITICA ABERTA","PENDENTE"))))</f>
        <v/>
      </c>
      <c r="I189" s="5" t="n"/>
    </row>
    <row r="190">
      <c r="A190" s="6" t="n"/>
      <c r="B190" s="7" t="n"/>
      <c r="C190" s="8" t="n"/>
      <c r="D190" s="8" t="n"/>
      <c r="E190" s="7" t="n"/>
      <c r="F190" s="7" t="n"/>
      <c r="G190" s="7" t="n"/>
      <c r="H190" s="7">
        <f>IF(E190="","",IF(E190="Conforme","OK",IF(G190="Sim","RESOLVIDA",IF(E190="NC critica","NC CRITICA ABERTA","PENDENTE"))))</f>
        <v/>
      </c>
      <c r="I190" s="8" t="n"/>
    </row>
    <row r="191">
      <c r="A191" s="3" t="n"/>
      <c r="B191" s="4" t="n"/>
      <c r="C191" s="5" t="n"/>
      <c r="D191" s="5" t="n"/>
      <c r="E191" s="4" t="n"/>
      <c r="F191" s="4" t="n"/>
      <c r="G191" s="4" t="n"/>
      <c r="H191" s="4">
        <f>IF(E191="","",IF(E191="Conforme","OK",IF(G191="Sim","RESOLVIDA",IF(E191="NC critica","NC CRITICA ABERTA","PENDENTE"))))</f>
        <v/>
      </c>
      <c r="I191" s="5" t="n"/>
    </row>
    <row r="192">
      <c r="A192" s="6" t="n"/>
      <c r="B192" s="7" t="n"/>
      <c r="C192" s="8" t="n"/>
      <c r="D192" s="8" t="n"/>
      <c r="E192" s="7" t="n"/>
      <c r="F192" s="7" t="n"/>
      <c r="G192" s="7" t="n"/>
      <c r="H192" s="7">
        <f>IF(E192="","",IF(E192="Conforme","OK",IF(G192="Sim","RESOLVIDA",IF(E192="NC critica","NC CRITICA ABERTA","PENDENTE"))))</f>
        <v/>
      </c>
      <c r="I192" s="8" t="n"/>
    </row>
    <row r="193">
      <c r="A193" s="3" t="n"/>
      <c r="B193" s="4" t="n"/>
      <c r="C193" s="5" t="n"/>
      <c r="D193" s="5" t="n"/>
      <c r="E193" s="4" t="n"/>
      <c r="F193" s="4" t="n"/>
      <c r="G193" s="4" t="n"/>
      <c r="H193" s="4">
        <f>IF(E193="","",IF(E193="Conforme","OK",IF(G193="Sim","RESOLVIDA",IF(E193="NC critica","NC CRITICA ABERTA","PENDENTE"))))</f>
        <v/>
      </c>
      <c r="I193" s="5" t="n"/>
    </row>
    <row r="194">
      <c r="A194" s="6" t="n"/>
      <c r="B194" s="7" t="n"/>
      <c r="C194" s="8" t="n"/>
      <c r="D194" s="8" t="n"/>
      <c r="E194" s="7" t="n"/>
      <c r="F194" s="7" t="n"/>
      <c r="G194" s="7" t="n"/>
      <c r="H194" s="7">
        <f>IF(E194="","",IF(E194="Conforme","OK",IF(G194="Sim","RESOLVIDA",IF(E194="NC critica","NC CRITICA ABERTA","PENDENTE"))))</f>
        <v/>
      </c>
      <c r="I194" s="8" t="n"/>
    </row>
    <row r="195">
      <c r="A195" s="3" t="n"/>
      <c r="B195" s="4" t="n"/>
      <c r="C195" s="5" t="n"/>
      <c r="D195" s="5" t="n"/>
      <c r="E195" s="4" t="n"/>
      <c r="F195" s="4" t="n"/>
      <c r="G195" s="4" t="n"/>
      <c r="H195" s="4">
        <f>IF(E195="","",IF(E195="Conforme","OK",IF(G195="Sim","RESOLVIDA",IF(E195="NC critica","NC CRITICA ABERTA","PENDENTE"))))</f>
        <v/>
      </c>
      <c r="I195" s="5" t="n"/>
    </row>
    <row r="196">
      <c r="A196" s="6" t="n"/>
      <c r="B196" s="7" t="n"/>
      <c r="C196" s="8" t="n"/>
      <c r="D196" s="8" t="n"/>
      <c r="E196" s="7" t="n"/>
      <c r="F196" s="7" t="n"/>
      <c r="G196" s="7" t="n"/>
      <c r="H196" s="7">
        <f>IF(E196="","",IF(E196="Conforme","OK",IF(G196="Sim","RESOLVIDA",IF(E196="NC critica","NC CRITICA ABERTA","PENDENTE"))))</f>
        <v/>
      </c>
      <c r="I196" s="8" t="n"/>
    </row>
    <row r="197">
      <c r="A197" s="3" t="n"/>
      <c r="B197" s="4" t="n"/>
      <c r="C197" s="5" t="n"/>
      <c r="D197" s="5" t="n"/>
      <c r="E197" s="4" t="n"/>
      <c r="F197" s="4" t="n"/>
      <c r="G197" s="4" t="n"/>
      <c r="H197" s="4">
        <f>IF(E197="","",IF(E197="Conforme","OK",IF(G197="Sim","RESOLVIDA",IF(E197="NC critica","NC CRITICA ABERTA","PENDENTE"))))</f>
        <v/>
      </c>
      <c r="I197" s="5" t="n"/>
    </row>
    <row r="198">
      <c r="A198" s="6" t="n"/>
      <c r="B198" s="7" t="n"/>
      <c r="C198" s="8" t="n"/>
      <c r="D198" s="8" t="n"/>
      <c r="E198" s="7" t="n"/>
      <c r="F198" s="7" t="n"/>
      <c r="G198" s="7" t="n"/>
      <c r="H198" s="7">
        <f>IF(E198="","",IF(E198="Conforme","OK",IF(G198="Sim","RESOLVIDA",IF(E198="NC critica","NC CRITICA ABERTA","PENDENTE"))))</f>
        <v/>
      </c>
      <c r="I198" s="8" t="n"/>
    </row>
    <row r="199">
      <c r="A199" s="3" t="n"/>
      <c r="B199" s="4" t="n"/>
      <c r="C199" s="5" t="n"/>
      <c r="D199" s="5" t="n"/>
      <c r="E199" s="4" t="n"/>
      <c r="F199" s="4" t="n"/>
      <c r="G199" s="4" t="n"/>
      <c r="H199" s="4">
        <f>IF(E199="","",IF(E199="Conforme","OK",IF(G199="Sim","RESOLVIDA",IF(E199="NC critica","NC CRITICA ABERTA","PENDENTE"))))</f>
        <v/>
      </c>
      <c r="I199" s="5" t="n"/>
    </row>
    <row r="200">
      <c r="A200" s="6" t="n"/>
      <c r="B200" s="7" t="n"/>
      <c r="C200" s="8" t="n"/>
      <c r="D200" s="8" t="n"/>
      <c r="E200" s="7" t="n"/>
      <c r="F200" s="7" t="n"/>
      <c r="G200" s="7" t="n"/>
      <c r="H200" s="7">
        <f>IF(E200="","",IF(E200="Conforme","OK",IF(G200="Sim","RESOLVIDA",IF(E200="NC critica","NC CRITICA ABERTA","PENDENTE"))))</f>
        <v/>
      </c>
      <c r="I200" s="8" t="n"/>
    </row>
    <row r="201">
      <c r="A201" s="3" t="n"/>
      <c r="B201" s="4" t="n"/>
      <c r="C201" s="5" t="n"/>
      <c r="D201" s="5" t="n"/>
      <c r="E201" s="4" t="n"/>
      <c r="F201" s="4" t="n"/>
      <c r="G201" s="4" t="n"/>
      <c r="H201" s="4">
        <f>IF(E201="","",IF(E201="Conforme","OK",IF(G201="Sim","RESOLVIDA",IF(E201="NC critica","NC CRITICA ABERTA","PENDENTE"))))</f>
        <v/>
      </c>
      <c r="I201" s="5" t="n"/>
    </row>
    <row r="202">
      <c r="A202" s="6" t="n"/>
      <c r="B202" s="7" t="n"/>
      <c r="C202" s="8" t="n"/>
      <c r="D202" s="8" t="n"/>
      <c r="E202" s="7" t="n"/>
      <c r="F202" s="7" t="n"/>
      <c r="G202" s="7" t="n"/>
      <c r="H202" s="7">
        <f>IF(E202="","",IF(E202="Conforme","OK",IF(G202="Sim","RESOLVIDA",IF(E202="NC critica","NC CRITICA ABERTA","PENDENTE"))))</f>
        <v/>
      </c>
      <c r="I202" s="8" t="n"/>
    </row>
  </sheetData>
  <mergeCells count="1">
    <mergeCell ref="A1:I1"/>
  </mergeCells>
  <conditionalFormatting sqref="H3:H202">
    <cfRule type="cellIs" priority="1" operator="equal" dxfId="0">
      <formula>"OK"</formula>
    </cfRule>
    <cfRule type="cellIs" priority="2" operator="equal" dxfId="1">
      <formula>"PENDENTE"</formula>
    </cfRule>
    <cfRule type="cellIs" priority="3" operator="equal" dxfId="2">
      <formula>"NC CRITICA ABERTA"</formula>
    </cfRule>
    <cfRule type="cellIs" priority="4" operator="equal" dxfId="3">
      <formula>"RESOLVIDA"</formula>
    </cfRule>
  </conditionalFormatting>
  <dataValidations count="3">
    <dataValidation sqref="B3:B202" showDropDown="0" showInputMessage="1" showErrorMessage="0" allowBlank="1" prompt="Selecione" type="list">
      <formula1>"Forma,Armacao,Cobrimento,Escoramento,Embutidos,Alvenaria,Desforma"</formula1>
    </dataValidation>
    <dataValidation sqref="E3:E202" showDropDown="0" showInputMessage="1" showErrorMessage="0" allowBlank="1" prompt="Selecione" type="list">
      <formula1>"Conforme,Pendencia,NC critica"</formula1>
    </dataValidation>
    <dataValidation sqref="G3:G202" showDropDown="0" showInputMessage="1" showErrorMessage="0" allowBlank="1" prompt="Selecione" type="list">
      <formula1>"Sim,Nao"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 ht="26" customHeight="1">
      <c r="A1" s="1" t="inlineStr">
        <is>
          <t>DASHBOARD — Veredito da liberação</t>
        </is>
      </c>
    </row>
    <row r="3">
      <c r="A3" s="9" t="inlineStr">
        <is>
          <t>Itens verificados</t>
        </is>
      </c>
      <c r="B3" s="9" t="inlineStr">
        <is>
          <t>OK</t>
        </is>
      </c>
      <c r="C3" s="9" t="inlineStr">
        <is>
          <t>Pendentes</t>
        </is>
      </c>
      <c r="D3" s="9" t="inlineStr">
        <is>
          <t>NC críticas abertas</t>
        </is>
      </c>
      <c r="E3" s="9" t="inlineStr">
        <is>
          <t>Resolvidas</t>
        </is>
      </c>
    </row>
    <row r="4">
      <c r="A4" s="10">
        <f>COUNTA(Inspecao!D3:D202)</f>
        <v/>
      </c>
      <c r="B4" s="11">
        <f>COUNTIF(Inspecao!H3:H202,"OK")</f>
        <v/>
      </c>
      <c r="C4" s="12">
        <f>COUNTIF(Inspecao!H3:H202,"PENDENTE")</f>
        <v/>
      </c>
      <c r="D4" s="13">
        <f>COUNTIF(Inspecao!H3:H202,"NC CRITICA ABERTA")</f>
        <v/>
      </c>
      <c r="E4" s="14">
        <f>COUNTIF(Inspecao!H3:H202,"RESOLVIDA")</f>
        <v/>
      </c>
    </row>
    <row r="6">
      <c r="A6" s="15" t="inlineStr">
        <is>
          <t>VEREDITO</t>
        </is>
      </c>
      <c r="B6" s="16">
        <f>IF(D4&gt;0,"TRAVADO - corrigir NC criticas e reinspecionar",IF(C4&gt;0,"LIBERADO COM PENDENCIAS - prazo + reconferencia obrigatorios",IF(B4+E4&gt;0,"LIBERADO - preencher o Termo e reconferir no dia","")))</f>
        <v/>
      </c>
    </row>
    <row r="8">
      <c r="A8" s="17" t="inlineStr">
        <is>
          <t>Como usar: uma linha por item verificado (serviço, elemento, item, resultado). Pendência/NC corrigida e reconferida vira RESOLVIDA. O veredito global exige zero NC crítica aberta. Este controle apoia o Termo de Liberação — não substitui o projeto nem o responsável técnico.</t>
        </is>
      </c>
    </row>
    <row r="9"/>
    <row r="10"/>
    <row r="12">
      <c r="A12" s="18" t="inlineStr">
        <is>
          <t>Revisado e assinado por Gustavo Domingos — Engenheiro Civil, CREA-PR 140.964-D</t>
        </is>
      </c>
    </row>
  </sheetData>
  <mergeCells count="3">
    <mergeCell ref="A1:E1"/>
    <mergeCell ref="A8:E10"/>
    <mergeCell ref="B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2026-07-17T10:35:32Z</dcterms:created>
  <dcterms:modified xmlns:dcterms="http://purl.org/dc/terms/" xmlns:xsi="http://www.w3.org/2001/XMLSchema-instance" xsi:type="dcterms:W3CDTF">2026-07-17T10:35:32Z</dcterms:modified>
</cp:coreProperties>
</file>